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drawings/drawing7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8.xml" ContentType="application/vnd.openxmlformats-officedocument.drawingml.chartshape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drawings/drawing10.xml" ContentType="application/vnd.openxmlformats-officedocument.drawing+xml"/>
  <Override PartName="/xl/ctrlProps/ctrlProp6.xml" ContentType="application/vnd.ms-excel.controlproperties+xml"/>
  <Override PartName="/xl/drawings/drawing11.xml" ContentType="application/vnd.openxmlformats-officedocument.drawing+xml"/>
  <Override PartName="/xl/charts/chart16.xml" ContentType="application/vnd.openxmlformats-officedocument.drawingml.chart+xml"/>
  <Override PartName="/xl/drawings/drawing12.xml" ContentType="application/vnd.openxmlformats-officedocument.drawing+xml"/>
  <Override PartName="/xl/ctrlProps/ctrlProp7.xml" ContentType="application/vnd.ms-excel.controlproperties+xml"/>
  <Override PartName="/xl/drawings/drawing13.xml" ContentType="application/vnd.openxmlformats-officedocument.drawing+xml"/>
  <Override PartName="/xl/charts/chart17.xml" ContentType="application/vnd.openxmlformats-officedocument.drawingml.chart+xml"/>
  <Override PartName="/xl/drawings/drawing14.xml" ContentType="application/vnd.openxmlformats-officedocument.drawing+xml"/>
  <Override PartName="/xl/charts/chart18.xml" ContentType="application/vnd.openxmlformats-officedocument.drawingml.chart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20" windowWidth="18015" windowHeight="8895" firstSheet="2" activeTab="2"/>
  </bookViews>
  <sheets>
    <sheet name="CompReport_SSO" sheetId="3" r:id="rId1"/>
    <sheet name="REPORT_SSO" sheetId="2" r:id="rId2"/>
    <sheet name="Main" sheetId="5" r:id="rId3"/>
    <sheet name="StdErr" sheetId="6" r:id="rId4"/>
    <sheet name="Time_Series" sheetId="16" r:id="rId5"/>
    <sheet name="Annual" sheetId="18" r:id="rId6"/>
    <sheet name="SRR" sheetId="17" r:id="rId7"/>
    <sheet name="SURVEY" sheetId="9" r:id="rId8"/>
    <sheet name="Comp_Disp" sheetId="4" r:id="rId9"/>
    <sheet name="BIO" sheetId="8" r:id="rId10"/>
    <sheet name="Len_Sel_A" sheetId="12" r:id="rId11"/>
    <sheet name="Len_Sel_D" sheetId="10" r:id="rId12"/>
    <sheet name="Age_Sel_A" sheetId="13" r:id="rId13"/>
    <sheet name="Age_Sel_D" sheetId="11" r:id="rId14"/>
    <sheet name="Discard" sheetId="14" r:id="rId15"/>
    <sheet name="BODYWT" sheetId="15" r:id="rId16"/>
    <sheet name="Annual_F" sheetId="19" r:id="rId17"/>
  </sheets>
  <definedNames>
    <definedName name="_xlnm._FilterDatabase" localSheetId="12" hidden="1">Age_Sel_A!$A$4:$D$7</definedName>
    <definedName name="_xlnm._FilterDatabase" localSheetId="13" hidden="1">Age_Sel_D!$A$2:$F$7</definedName>
    <definedName name="_xlnm._FilterDatabase" localSheetId="16" hidden="1">Annual_F!$D$5:$F$7</definedName>
    <definedName name="_xlnm._FilterDatabase" localSheetId="9" hidden="1">BIO!$C$37:$K$40</definedName>
    <definedName name="_xlnm._FilterDatabase" localSheetId="15" hidden="1">BODYWT!$A$4:$D$5</definedName>
    <definedName name="_xlnm._FilterDatabase" localSheetId="8" hidden="1">Comp_Disp!$A$4:$M$29</definedName>
    <definedName name="_xlnm._FilterDatabase" localSheetId="0" hidden="1">CompReport_SSO!$A$24:$L$29</definedName>
    <definedName name="_xlnm._FilterDatabase" localSheetId="14" hidden="1">Discard!$A$4:$D$6</definedName>
    <definedName name="_xlnm._FilterDatabase" localSheetId="10" hidden="1">Len_Sel_A!$A$6:$D$7</definedName>
    <definedName name="_xlnm._FilterDatabase" localSheetId="11" hidden="1">Len_Sel_D!$A$2:$D$7</definedName>
    <definedName name="_xlnm._FilterDatabase" localSheetId="7" hidden="1">SURVEY!$A$4:$D$9</definedName>
    <definedName name="_xlnm._FilterDatabase" localSheetId="4" hidden="1">Time_Series!$A$2:$D$5</definedName>
    <definedName name="ACV_Mid" localSheetId="9">BIO!$B$38:$B$40</definedName>
    <definedName name="Age_Beg" localSheetId="9">BIO!$J$38:$J$40</definedName>
    <definedName name="Age_Mid" localSheetId="9">BIO!$K$38:$K$40</definedName>
    <definedName name="AgeSelex_Raw">Age_Sel_A!$A$1</definedName>
    <definedName name="Apical_F" localSheetId="16">Annual_F!$A$6:$A$7</definedName>
    <definedName name="Ave_F" localSheetId="16">Annual_F!$C$6:$C$7</definedName>
    <definedName name="Bin" localSheetId="8">Comp_Disp!$M$5:$M$29</definedName>
    <definedName name="Bio_smry" localSheetId="5">Annual!$O$9:$O$10</definedName>
    <definedName name="Bio_smry" localSheetId="4">Time_Series!$F$3:$F$5</definedName>
    <definedName name="CompReport" localSheetId="0">CompReport_SSO!$A$4:$AR$30</definedName>
    <definedName name="Cum_exp" localSheetId="8">Comp_Disp!$U$5:$U$29</definedName>
    <definedName name="Cum_obs" localSheetId="8">Comp_Disp!$T$5:$T$29</definedName>
    <definedName name="Dead_Catch" localSheetId="5">Annual!$Q$9:$Q$10</definedName>
    <definedName name="delete_OBS" localSheetId="15">BODYWT!$P$5:$P$5</definedName>
    <definedName name="delete_OBS" localSheetId="14">Discard!$V$5:$V$6</definedName>
    <definedName name="delete_OBS" localSheetId="7">SURVEY!$Q$5:$Q$9</definedName>
    <definedName name="Eff_Q" localSheetId="7">SURVEY!$J$5:$J$9</definedName>
    <definedName name="Exp" localSheetId="15">BODYWT!$H$5:$H$5</definedName>
    <definedName name="Exp" localSheetId="8">Comp_Disp!$O$5:$O$29</definedName>
    <definedName name="Exp" localSheetId="14">Discard!$G$5:$G$6</definedName>
    <definedName name="Exp" localSheetId="7">SURVEY!$H$5:$H$9</definedName>
    <definedName name="F_std" localSheetId="5">Annual!$L$9:$L$10</definedName>
    <definedName name="Len_Beg" localSheetId="9">BIO!$M$38:$M$40</definedName>
    <definedName name="Len_Mid" localSheetId="9">BIO!$N$38:$N$40</definedName>
    <definedName name="LenSelexArea">Len_Sel_D!$D$6:$V$7</definedName>
    <definedName name="Main_List">Main!$N$3</definedName>
    <definedName name="OBS" localSheetId="15">BODYWT!$Q$5:$Q$5</definedName>
    <definedName name="Obs" localSheetId="8">Comp_Disp!$N$5:$N$29</definedName>
    <definedName name="OBS" localSheetId="14">Discard!$W$5:$W$6</definedName>
    <definedName name="OBS" localSheetId="7">SURVEY!$R$5:$R$9</definedName>
    <definedName name="Pearson" localSheetId="8">Comp_Disp!$P$5:$P$29</definedName>
    <definedName name="put_agecomp">Comp_Disp!$A$4</definedName>
    <definedName name="put_ageselex">Age_Sel_D!$A$2</definedName>
    <definedName name="put_biology">BIO!$C$37</definedName>
    <definedName name="put_selex">Len_Sel_D!$A$2</definedName>
    <definedName name="put_survey">SURVEY!$A$5</definedName>
    <definedName name="Recruit_0" localSheetId="4">Time_Series!$H$3:$H$5</definedName>
    <definedName name="Recruits" localSheetId="5">Annual!$T$9:$T$10</definedName>
    <definedName name="Report_1" localSheetId="1">REPORT_SSO!$A$1:$BB$29</definedName>
    <definedName name="SD_Beg" localSheetId="9">BIO!$O$38:$O$40</definedName>
    <definedName name="SD_Mid" localSheetId="9">BIO!$P$38:$P$40</definedName>
    <definedName name="se2_hi" localSheetId="15">BODYWT!$S$5:$S$5</definedName>
    <definedName name="se2_hi" localSheetId="14">Discard!$Y$5:$Y$6</definedName>
    <definedName name="se2_hi" localSheetId="7">SURVEY!$T$5:$T$9</definedName>
    <definedName name="se2_low" localSheetId="15">BODYWT!$R$5:$R$5</definedName>
    <definedName name="se2_low" localSheetId="14">Discard!$X$5:$X$6</definedName>
    <definedName name="se2_low" localSheetId="7">SURVEY!$S$5:$S$9</definedName>
    <definedName name="SpawnBio" localSheetId="4">Time_Series!$G$3:$G$5</definedName>
    <definedName name="SPB" localSheetId="5">Annual!$S$9:$S$10</definedName>
    <definedName name="SPR_std" localSheetId="5">Annual!$H$9:$H$10</definedName>
    <definedName name="Year" localSheetId="5">Annual!$A$9:$A$10</definedName>
    <definedName name="Year" localSheetId="16">Annual_F!$F$6:$F$7</definedName>
    <definedName name="Yr" localSheetId="15">BODYWT!$E$5:$E$5</definedName>
    <definedName name="Yr" localSheetId="8">Comp_Disp!$C$5:$C$29</definedName>
    <definedName name="Yr" localSheetId="14">Discard!$E$5:$E$6</definedName>
    <definedName name="Yr" localSheetId="7">SURVEY!$E$5:$E$9</definedName>
    <definedName name="Yr" localSheetId="4">Time_Series!$B$3:$B$5</definedName>
  </definedNames>
  <calcPr calcId="145621"/>
</workbook>
</file>

<file path=xl/calcChain.xml><?xml version="1.0" encoding="utf-8"?>
<calcChain xmlns="http://schemas.openxmlformats.org/spreadsheetml/2006/main">
  <c r="S5" i="15" l="1"/>
  <c r="R5" i="15"/>
  <c r="Q5" i="15"/>
  <c r="P5" i="15"/>
  <c r="Y6" i="14"/>
  <c r="X6" i="14"/>
  <c r="W6" i="14"/>
  <c r="V6" i="14"/>
  <c r="Y5" i="14"/>
  <c r="X5" i="14"/>
  <c r="W5" i="14"/>
  <c r="V5" i="14"/>
  <c r="T9" i="9"/>
  <c r="S9" i="9"/>
  <c r="R9" i="9"/>
  <c r="Q9" i="9"/>
  <c r="T8" i="9"/>
  <c r="S8" i="9"/>
  <c r="R8" i="9"/>
  <c r="Q8" i="9"/>
  <c r="T7" i="9"/>
  <c r="S7" i="9"/>
  <c r="R7" i="9"/>
  <c r="Q7" i="9"/>
  <c r="T6" i="9"/>
  <c r="S6" i="9"/>
  <c r="R6" i="9"/>
  <c r="Q6" i="9"/>
  <c r="T5" i="9"/>
  <c r="S5" i="9"/>
  <c r="R5" i="9"/>
  <c r="Q5" i="9"/>
  <c r="B40" i="8"/>
  <c r="A40" i="8"/>
  <c r="B39" i="8"/>
  <c r="A39" i="8"/>
  <c r="B38" i="8"/>
  <c r="A38" i="8"/>
  <c r="Y3" i="14" l="1"/>
  <c r="X3" i="14"/>
  <c r="V3" i="14"/>
  <c r="W3" i="14"/>
  <c r="S3" i="15" l="1"/>
  <c r="R3" i="15"/>
  <c r="Q3" i="15"/>
  <c r="P3" i="15"/>
  <c r="T3" i="9"/>
  <c r="S3" i="9"/>
  <c r="Q3" i="9" l="1"/>
  <c r="R3" i="9"/>
  <c r="B36" i="8"/>
  <c r="A36" i="8"/>
  <c r="B2" i="4"/>
</calcChain>
</file>

<file path=xl/comments1.xml><?xml version="1.0" encoding="utf-8"?>
<comments xmlns="http://schemas.openxmlformats.org/spreadsheetml/2006/main">
  <authors>
    <author>richard methot</author>
  </authors>
  <commentList>
    <comment ref="B3" authorId="0">
      <text>
        <r>
          <rPr>
            <b/>
            <sz val="8"/>
            <color indexed="81"/>
            <rFont val="Tahoma"/>
            <family val="2"/>
          </rPr>
          <t>Ave_F calculated for ages MinAge to MaxAge</t>
        </r>
      </text>
    </comment>
  </commentList>
</comments>
</file>

<file path=xl/connections.xml><?xml version="1.0" encoding="utf-8"?>
<connections xmlns="http://schemas.openxmlformats.org/spreadsheetml/2006/main">
  <connection id="1" name="CompReport" type="6" refreshedVersion="4" background="1" saveData="1">
    <textPr codePage="437" sourceFile="C:\Users\Richard Methot\Documents\SS_Model\Examples\Ver320\Simple\tester\CompReport.sso" tab="0" space="1" consecutive="1">
      <textFields count="5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Report" type="6" refreshedVersion="3" background="1" saveData="1">
    <textPr codePage="437" sourceFile="C:\SS2\SS3_Examples\Ver303\Tester\Report.SSO" tab="0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" name="Report1" type="6" refreshedVersion="4" background="1" saveData="1">
    <textPr codePage="437" sourceFile="C:\Users\richard methot\Documents\SS_model\Examples\Ver320\Simple\tester\Report.sso" tab="0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<sst xmlns="http://schemas.openxmlformats.org/spreadsheetml/2006/main" count="616" uniqueCount="402">
  <si>
    <t>Fleet</t>
  </si>
  <si>
    <t>Gender</t>
  </si>
  <si>
    <t>Seas</t>
  </si>
  <si>
    <t>Yr</t>
  </si>
  <si>
    <t>Obs</t>
  </si>
  <si>
    <t>Exp</t>
  </si>
  <si>
    <t>Like</t>
  </si>
  <si>
    <t>N</t>
  </si>
  <si>
    <t>effN</t>
  </si>
  <si>
    <t>Ageerr</t>
  </si>
  <si>
    <t>Lbin_lo</t>
  </si>
  <si>
    <t>Lbin_hi</t>
  </si>
  <si>
    <t>Bin</t>
  </si>
  <si>
    <t>Rep</t>
  </si>
  <si>
    <t>Pick_gender</t>
  </si>
  <si>
    <t>Kind</t>
  </si>
  <si>
    <t>Part</t>
  </si>
  <si>
    <t>Pearson</t>
  </si>
  <si>
    <t>Cum_exp</t>
  </si>
  <si>
    <t>Scal-Trawl</t>
  </si>
  <si>
    <t>Len</t>
  </si>
  <si>
    <t>MF</t>
  </si>
  <si>
    <t>Step 2:  Parse Report (cuts from sheet Report_SSO and moves to working sheets)</t>
  </si>
  <si>
    <t>Morph</t>
  </si>
  <si>
    <t>Vuln_bio</t>
  </si>
  <si>
    <t>Eff_Q</t>
  </si>
  <si>
    <t>SE</t>
  </si>
  <si>
    <t>Dev</t>
  </si>
  <si>
    <t>Like+log(s)</t>
  </si>
  <si>
    <t>fleet</t>
  </si>
  <si>
    <t>Bio_Pattern</t>
  </si>
  <si>
    <t>BirthSeas</t>
  </si>
  <si>
    <t>Age</t>
  </si>
  <si>
    <t>Age_Beg</t>
  </si>
  <si>
    <t>Age_Mid</t>
  </si>
  <si>
    <t>M</t>
  </si>
  <si>
    <t>Len_Beg</t>
  </si>
  <si>
    <t>Len_Mid</t>
  </si>
  <si>
    <t>SD_Beg</t>
  </si>
  <si>
    <t>SD_Mid</t>
  </si>
  <si>
    <t>Wt_Beg</t>
  </si>
  <si>
    <t>Wt_Mid</t>
  </si>
  <si>
    <t>Len_Mat</t>
  </si>
  <si>
    <t>Age_Mat</t>
  </si>
  <si>
    <t>Mat*Fecund</t>
  </si>
  <si>
    <t>Len:_1</t>
  </si>
  <si>
    <t>SelWt:_1</t>
  </si>
  <si>
    <t>RetWt:_1</t>
  </si>
  <si>
    <t>Len:_2</t>
  </si>
  <si>
    <t>SelWt:_2</t>
  </si>
  <si>
    <t>RetWt:_2</t>
  </si>
  <si>
    <t>Len:_3</t>
  </si>
  <si>
    <t>SelWt:_3</t>
  </si>
  <si>
    <t>RetWt:_3</t>
  </si>
  <si>
    <t>Length:</t>
  </si>
  <si>
    <t>Len_mid:</t>
  </si>
  <si>
    <t>Combine_males_with_females_thru_agedata_bin:</t>
  </si>
  <si>
    <t>Method_for_Lbin_definition_for_agecomp_data:</t>
  </si>
  <si>
    <t>Composition_Database</t>
  </si>
  <si>
    <t>Len:_4</t>
  </si>
  <si>
    <t>SelWt:_4</t>
  </si>
  <si>
    <t>RetWt:_4</t>
  </si>
  <si>
    <t>SelWt:_5</t>
  </si>
  <si>
    <t>RetWt:_5</t>
  </si>
  <si>
    <t>Len:_6</t>
  </si>
  <si>
    <t>SelWt:_6</t>
  </si>
  <si>
    <t>RetWt:_6</t>
  </si>
  <si>
    <t>Len:_7</t>
  </si>
  <si>
    <t>SelWt:_7</t>
  </si>
  <si>
    <t>RetWt:_7</t>
  </si>
  <si>
    <t>Len:_8</t>
  </si>
  <si>
    <t>SelWt:_8</t>
  </si>
  <si>
    <t>RetWt:_8</t>
  </si>
  <si>
    <t>SURVEY</t>
  </si>
  <si>
    <t>OBS</t>
  </si>
  <si>
    <t>Len:_9</t>
  </si>
  <si>
    <t>SelWt:_9</t>
  </si>
  <si>
    <t>RetWt:_9</t>
  </si>
  <si>
    <t>Len:_10</t>
  </si>
  <si>
    <t>SelWt:_10</t>
  </si>
  <si>
    <t>RetWt:_10</t>
  </si>
  <si>
    <t>Len:_11</t>
  </si>
  <si>
    <t>SelWt:_11</t>
  </si>
  <si>
    <t>RetWt:_11</t>
  </si>
  <si>
    <t>SelWt:_12</t>
  </si>
  <si>
    <t>RetWt:_12</t>
  </si>
  <si>
    <t>Len:_13</t>
  </si>
  <si>
    <t>SelWt:_13</t>
  </si>
  <si>
    <t>RetWt:_13</t>
  </si>
  <si>
    <t>Len:_14</t>
  </si>
  <si>
    <t>SelWt:_14</t>
  </si>
  <si>
    <t>RetWt:_14</t>
  </si>
  <si>
    <t>Len:_15</t>
  </si>
  <si>
    <t>SelWt:_15</t>
  </si>
  <si>
    <t>RetWt:_15</t>
  </si>
  <si>
    <t>SelWt:_16</t>
  </si>
  <si>
    <t>RetWt:_16</t>
  </si>
  <si>
    <t>Len:_17</t>
  </si>
  <si>
    <t>SelWt:_17</t>
  </si>
  <si>
    <t>RetWt:_17</t>
  </si>
  <si>
    <t>Len:_18</t>
  </si>
  <si>
    <t>SelWt:_18</t>
  </si>
  <si>
    <t>RetWt:_18</t>
  </si>
  <si>
    <t>Len:_19</t>
  </si>
  <si>
    <t>SelWt:_19</t>
  </si>
  <si>
    <t>RetWt:_19</t>
  </si>
  <si>
    <t>Len:_20</t>
  </si>
  <si>
    <t>SelWt:_20</t>
  </si>
  <si>
    <t>RetWt:_20</t>
  </si>
  <si>
    <t>Len:_21</t>
  </si>
  <si>
    <t>SelWt:_21</t>
  </si>
  <si>
    <t>RetWt:_21</t>
  </si>
  <si>
    <t>Len:_22</t>
  </si>
  <si>
    <t>SelWt:_22</t>
  </si>
  <si>
    <t>RetWt:_22</t>
  </si>
  <si>
    <t>Len:_23</t>
  </si>
  <si>
    <t>SelWt:_23</t>
  </si>
  <si>
    <t>RetWt:_23</t>
  </si>
  <si>
    <t>Len:_24</t>
  </si>
  <si>
    <t>SelWt:_24</t>
  </si>
  <si>
    <t>RetWt:_24</t>
  </si>
  <si>
    <t>Len:_25</t>
  </si>
  <si>
    <t>SelWt:_25</t>
  </si>
  <si>
    <t>RetWt:_25</t>
  </si>
  <si>
    <t>Len:_26</t>
  </si>
  <si>
    <t>SelWt:_26</t>
  </si>
  <si>
    <t>RetWt:_26</t>
  </si>
  <si>
    <t>Len:_27</t>
  </si>
  <si>
    <t>SelWt:_27</t>
  </si>
  <si>
    <t>RetWt:_27</t>
  </si>
  <si>
    <t>Len:_28</t>
  </si>
  <si>
    <t>SelWt:_28</t>
  </si>
  <si>
    <t>RetWt:_28</t>
  </si>
  <si>
    <t>Len:_29</t>
  </si>
  <si>
    <t>SelWt:_29</t>
  </si>
  <si>
    <t>RetWt:_29</t>
  </si>
  <si>
    <t>Len:_30</t>
  </si>
  <si>
    <t>SelWt:_30</t>
  </si>
  <si>
    <t>RetWt:_30</t>
  </si>
  <si>
    <t>Len:_31</t>
  </si>
  <si>
    <t>SelWt:_31</t>
  </si>
  <si>
    <t>RetWt:_31</t>
  </si>
  <si>
    <t>Len:_32</t>
  </si>
  <si>
    <t>SelWt:_32</t>
  </si>
  <si>
    <t>RetWt:_32</t>
  </si>
  <si>
    <t>Len:_33</t>
  </si>
  <si>
    <t>SelWt:_33</t>
  </si>
  <si>
    <t>RetWt:_33</t>
  </si>
  <si>
    <t>Len:_34</t>
  </si>
  <si>
    <t>SelWt:_34</t>
  </si>
  <si>
    <t>RetWt:_34</t>
  </si>
  <si>
    <t>Len:_35</t>
  </si>
  <si>
    <t>SelWt:_35</t>
  </si>
  <si>
    <t>RetWt:_35</t>
  </si>
  <si>
    <t>Len:_36</t>
  </si>
  <si>
    <t>SelWt:_36</t>
  </si>
  <si>
    <t>RetWt:_36</t>
  </si>
  <si>
    <t>Len:_37</t>
  </si>
  <si>
    <t>SelWt:_37</t>
  </si>
  <si>
    <t>RetWt:_37</t>
  </si>
  <si>
    <t>Len:_38</t>
  </si>
  <si>
    <t>SelWt:_38</t>
  </si>
  <si>
    <t>RetWt:_38</t>
  </si>
  <si>
    <t>Len:_39</t>
  </si>
  <si>
    <t>SelWt:_39</t>
  </si>
  <si>
    <t>RetWt:_39</t>
  </si>
  <si>
    <t>Len:_40</t>
  </si>
  <si>
    <t>SelWt:_40</t>
  </si>
  <si>
    <t>RetWt:_40</t>
  </si>
  <si>
    <t>Len:_41</t>
  </si>
  <si>
    <t>SelWt:_41</t>
  </si>
  <si>
    <t>RetWt:_41</t>
  </si>
  <si>
    <t>Len:_42</t>
  </si>
  <si>
    <t>SelWt:_42</t>
  </si>
  <si>
    <t>RetWt:_42</t>
  </si>
  <si>
    <t>Len:_43</t>
  </si>
  <si>
    <t>SelWt:_43</t>
  </si>
  <si>
    <t>RetWt:_43</t>
  </si>
  <si>
    <t>Len:_44</t>
  </si>
  <si>
    <t>SelWt:_44</t>
  </si>
  <si>
    <t>RetWt:_44</t>
  </si>
  <si>
    <t>Len:_45</t>
  </si>
  <si>
    <t>SelWt:_45</t>
  </si>
  <si>
    <t>RetWt:_45</t>
  </si>
  <si>
    <t>Len:_46</t>
  </si>
  <si>
    <t>SelWt:_46</t>
  </si>
  <si>
    <t>RetWt:_46</t>
  </si>
  <si>
    <t>Pop_Bin:</t>
  </si>
  <si>
    <t>Data_Bin:</t>
  </si>
  <si>
    <t>Combine_males_with_females_thru_sizedata_bin:</t>
  </si>
  <si>
    <t>Cum_obs</t>
  </si>
  <si>
    <t>year</t>
  </si>
  <si>
    <t>gender</t>
  </si>
  <si>
    <t>label</t>
  </si>
  <si>
    <t>Lsel</t>
  </si>
  <si>
    <t>Factor</t>
  </si>
  <si>
    <t>Lsel_is_length_selectivity</t>
  </si>
  <si>
    <t>RET_is_retention</t>
  </si>
  <si>
    <t>MORT_is_discard_mortality</t>
  </si>
  <si>
    <t>KEEP_is_sel*retain</t>
  </si>
  <si>
    <t>Asel_is_age_selectivity_alone</t>
  </si>
  <si>
    <t>factor</t>
  </si>
  <si>
    <t>seas</t>
  </si>
  <si>
    <t>morph</t>
  </si>
  <si>
    <t>Asel</t>
  </si>
  <si>
    <t>On that sheet, you can filter to select up to 32000 rows to be copied to sheet "Comp_Disp"  for interactive filtering and display</t>
  </si>
  <si>
    <t>Selectivity and related vectors are copied to Age_Sel_A and Len_Sel_A</t>
  </si>
  <si>
    <t>From those two sheets, subsets can be filtered and copied to Age_Sel_D and Len_Sel_D for interactive filtering and display</t>
  </si>
  <si>
    <t>All composition data are on sheet CompReport.SSO</t>
  </si>
  <si>
    <t>se2_low</t>
  </si>
  <si>
    <t>se2_hi</t>
  </si>
  <si>
    <t>delete_OBS</t>
  </si>
  <si>
    <t>StartTime:</t>
  </si>
  <si>
    <t>EndTime:</t>
  </si>
  <si>
    <t>This</t>
  </si>
  <si>
    <t>run</t>
  </si>
  <si>
    <t>took:</t>
  </si>
  <si>
    <t>hours,</t>
  </si>
  <si>
    <t>minutes,</t>
  </si>
  <si>
    <t>seconds.</t>
  </si>
  <si>
    <t>Data_File:</t>
  </si>
  <si>
    <t>Control_File:</t>
  </si>
  <si>
    <t>Convergence_Level:</t>
  </si>
  <si>
    <t>is_final_gradient</t>
  </si>
  <si>
    <t>Hessian:</t>
  </si>
  <si>
    <t>Starter_Comments</t>
  </si>
  <si>
    <t>_</t>
  </si>
  <si>
    <t>Area</t>
  </si>
  <si>
    <t>Era</t>
  </si>
  <si>
    <t>Bio_all</t>
  </si>
  <si>
    <t>Bio_smry</t>
  </si>
  <si>
    <t>SpawnBio</t>
  </si>
  <si>
    <t>Recruit_0</t>
  </si>
  <si>
    <t>VIRG</t>
  </si>
  <si>
    <t>SPAWN_RECRUIT</t>
  </si>
  <si>
    <t>Init</t>
  </si>
  <si>
    <t>Year</t>
  </si>
  <si>
    <t>F_std</t>
  </si>
  <si>
    <t>SPR_series_uses_R0=</t>
  </si>
  <si>
    <t>###note_Y/R_unit_is_Dead_Biomass</t>
  </si>
  <si>
    <t>Depletion_method:</t>
  </si>
  <si>
    <t>#</t>
  </si>
  <si>
    <t>F_std_method:</t>
  </si>
  <si>
    <t>SPR_std_method:</t>
  </si>
  <si>
    <t>Bio_Smry</t>
  </si>
  <si>
    <t>SPBzero</t>
  </si>
  <si>
    <t>SPBfished</t>
  </si>
  <si>
    <t>SPBfished/R</t>
  </si>
  <si>
    <t>SPR</t>
  </si>
  <si>
    <t>SPR_std</t>
  </si>
  <si>
    <t>Y/R</t>
  </si>
  <si>
    <t>GenTime</t>
  </si>
  <si>
    <t>Deplete</t>
  </si>
  <si>
    <t>Actual:</t>
  </si>
  <si>
    <t>Enc_Catch</t>
  </si>
  <si>
    <t>Dead_Catch</t>
  </si>
  <si>
    <t>Retain_Catch</t>
  </si>
  <si>
    <t>&amp;</t>
  </si>
  <si>
    <t>Function:</t>
  </si>
  <si>
    <t>Ln(R0)</t>
  </si>
  <si>
    <t>steep</t>
  </si>
  <si>
    <t>init_eq</t>
  </si>
  <si>
    <t>spawn_bio</t>
  </si>
  <si>
    <t>exp_recr</t>
  </si>
  <si>
    <t>with_env</t>
  </si>
  <si>
    <t>pred_recr</t>
  </si>
  <si>
    <t>dev</t>
  </si>
  <si>
    <t>era</t>
  </si>
  <si>
    <t>S/Rcurve</t>
  </si>
  <si>
    <t>Virg</t>
  </si>
  <si>
    <t>-</t>
  </si>
  <si>
    <t>ACV_Mid</t>
  </si>
  <si>
    <t>ACV_Beg</t>
  </si>
  <si>
    <t>Step 3:  Refresh Data (you'll be prompted to navigate to directory containing COMPREPORT.SSO)</t>
  </si>
  <si>
    <t>Step 1:  Refresh Data (you'll be prompted to navigate to directory containing REPORT.SSO)</t>
  </si>
  <si>
    <t>RowCount</t>
  </si>
  <si>
    <t>To reduce size of the file if it needs to get saved</t>
  </si>
  <si>
    <t>Apical_F</t>
  </si>
  <si>
    <t>Ave_F</t>
  </si>
  <si>
    <t>Apical_Age</t>
  </si>
  <si>
    <t>MinAge:</t>
  </si>
  <si>
    <t>MaxAge:</t>
  </si>
  <si>
    <t>Calc_Q</t>
  </si>
  <si>
    <t>COMBINED_ALK*selL*selA*wtlen*ret*discmort_in_makefishsel_yr:</t>
  </si>
  <si>
    <t>With_MeanSel_From:</t>
  </si>
  <si>
    <t>BIOLOGY</t>
  </si>
  <si>
    <t>Std_in</t>
  </si>
  <si>
    <t>Std_use</t>
  </si>
  <si>
    <t>Asel2_is_sizesel*size_at_age(ALK)</t>
  </si>
  <si>
    <t>SubMorph</t>
  </si>
  <si>
    <t>A</t>
  </si>
  <si>
    <t>sigmaR</t>
  </si>
  <si>
    <t>main_recdev:start_end</t>
  </si>
  <si>
    <t>breakpoints_for_bias_adjustment_ramp</t>
  </si>
  <si>
    <t>ERA</t>
  </si>
  <si>
    <t>RMSE</t>
  </si>
  <si>
    <t>mean_BiasAdj</t>
  </si>
  <si>
    <t>main</t>
  </si>
  <si>
    <t>biasadj</t>
  </si>
  <si>
    <t>early</t>
  </si>
  <si>
    <t>adjusted</t>
  </si>
  <si>
    <t>Num_Smry</t>
  </si>
  <si>
    <t>2008_1Asel</t>
  </si>
  <si>
    <t>2009_1Asel</t>
  </si>
  <si>
    <t>2008_2Asel</t>
  </si>
  <si>
    <t>Len:_5</t>
  </si>
  <si>
    <t>Discard</t>
  </si>
  <si>
    <t>1957_1Asel</t>
  </si>
  <si>
    <t>1957_2Asel</t>
  </si>
  <si>
    <t>AgeSelex_Display</t>
  </si>
  <si>
    <t>AgeSelex_Raw</t>
  </si>
  <si>
    <t>Main_List</t>
  </si>
  <si>
    <t>Return to Main</t>
  </si>
  <si>
    <t>Report_SSO</t>
  </si>
  <si>
    <t>LenSelex_Raw</t>
  </si>
  <si>
    <t>LenSelex_Display</t>
  </si>
  <si>
    <t>Time_Series_Detail</t>
  </si>
  <si>
    <t>TimeSeries_Annual</t>
  </si>
  <si>
    <t>Spawn_Recruit</t>
  </si>
  <si>
    <t>SURVEY_CPUE</t>
  </si>
  <si>
    <t>Composition_Raw</t>
  </si>
  <si>
    <t>Composition_Display</t>
  </si>
  <si>
    <t>BODYWT</t>
  </si>
  <si>
    <t>Annual_F</t>
  </si>
  <si>
    <t>RMSE^2/sigmaR^2</t>
  </si>
  <si>
    <t>#C</t>
  </si>
  <si>
    <t>KeyWords</t>
  </si>
  <si>
    <t>X</t>
  </si>
  <si>
    <t>DEFINITIONS</t>
  </si>
  <si>
    <t>LIKELIHOOD</t>
  </si>
  <si>
    <t>Used?</t>
  </si>
  <si>
    <t>Supr_Per</t>
  </si>
  <si>
    <t>SuprPer</t>
  </si>
  <si>
    <t>Size_Bins_pop;_(Pop_len_mid_used_for_calc_of_selex_and_bio_quantities)</t>
  </si>
  <si>
    <t>Size_Bins_dat;_(Data_len_mid_for_reporting_only)</t>
  </si>
  <si>
    <t>For_Sizefreq,_Lbin_Lo_is_units(bio_or_numbers);_Lbin_hi_is_scale(kg,_lb,_cm,_in),_Ageerr_is_method</t>
  </si>
  <si>
    <t>For_Tag_output,_Rep_contains_Tag_Group,_Bin_is_fleet_for_TAG1_and_Bin_is_Year.Seas_for_TAG2</t>
  </si>
  <si>
    <t>Column_Super?_indicates_super-periods;_column_used_indicates_inclusion_in_logL</t>
  </si>
  <si>
    <t>LEN</t>
  </si>
  <si>
    <t>Then save file, reopen but do not reestablish dataconnections, then save.  This will save a very small file.</t>
  </si>
  <si>
    <t>type ctl-m to return here</t>
  </si>
  <si>
    <t>NOTE:  You do not need to activate "Data Connections"</t>
  </si>
  <si>
    <t>Len:_12</t>
  </si>
  <si>
    <t>starter</t>
  </si>
  <si>
    <t>comment</t>
  </si>
  <si>
    <t>here</t>
  </si>
  <si>
    <t>Use</t>
  </si>
  <si>
    <t>MnAge_Smry</t>
  </si>
  <si>
    <t>MnAge_Catch</t>
  </si>
  <si>
    <t>Yr.S</t>
  </si>
  <si>
    <t>DEAD_is_sel*(retain+(1-retain)*discmort);</t>
  </si>
  <si>
    <t>delete_Obs</t>
  </si>
  <si>
    <t>Control_Comments</t>
  </si>
  <si>
    <t>End_comp_data</t>
  </si>
  <si>
    <t>Forecast_Comments</t>
  </si>
  <si>
    <t>generic</t>
  </si>
  <si>
    <t>forecast</t>
  </si>
  <si>
    <t>FIT_LEN_COMPS</t>
  </si>
  <si>
    <t>Age:</t>
  </si>
  <si>
    <t>simple.ctl</t>
  </si>
  <si>
    <t>growth</t>
  </si>
  <si>
    <t>parameters</t>
  </si>
  <si>
    <t>are</t>
  </si>
  <si>
    <t>estimated</t>
  </si>
  <si>
    <t>Data_Comments</t>
  </si>
  <si>
    <t>data</t>
  </si>
  <si>
    <t>file</t>
  </si>
  <si>
    <t>env_link_</t>
  </si>
  <si>
    <t>1978_1_Lsel</t>
  </si>
  <si>
    <t>1998_1_Lsel</t>
  </si>
  <si>
    <t>1978_2_Lsel</t>
  </si>
  <si>
    <t>1978_3_Lsel</t>
  </si>
  <si>
    <t>1978_4_Lsel</t>
  </si>
  <si>
    <t>for</t>
  </si>
  <si>
    <t>Start_parm_values_from_SS3.PAR</t>
  </si>
  <si>
    <t>#V3.30</t>
  </si>
  <si>
    <t>SS-V3.30-beta;_11/23/2011;_Stock_Synthesis_by_Richard_Methot_(NOAA)_using_ADMB_10</t>
  </si>
  <si>
    <t>Tue</t>
  </si>
  <si>
    <t>Jan</t>
  </si>
  <si>
    <t>simple.dat</t>
  </si>
  <si>
    <t>simple</t>
  </si>
  <si>
    <t>example</t>
  </si>
  <si>
    <t>spawner-recruitment</t>
  </si>
  <si>
    <t>bias</t>
  </si>
  <si>
    <t>adjustment</t>
  </si>
  <si>
    <t>Not</t>
  </si>
  <si>
    <t>tuned</t>
  </si>
  <si>
    <t>For</t>
  </si>
  <si>
    <t>optimality</t>
  </si>
  <si>
    <t>Updated:  June 14, 2012 for V3.24c</t>
  </si>
  <si>
    <t>(1-SPR)/(1-SPR_40%)</t>
  </si>
  <si>
    <t>(F)/(F40%SPR)</t>
  </si>
  <si>
    <t>40%*Virgin_Biomass</t>
  </si>
  <si>
    <t>INIT</t>
  </si>
  <si>
    <t>TIME</t>
  </si>
  <si>
    <t>2_SURVEY1</t>
  </si>
  <si>
    <t>MEAN_BODY_WT_OUTPUT</t>
  </si>
  <si>
    <t>Year_styr-3_(1968)_stores_average_used_for_benchmark</t>
  </si>
  <si>
    <t>1968_1_Lsel</t>
  </si>
  <si>
    <t>2001;</t>
  </si>
  <si>
    <t>1968_1Asel</t>
  </si>
  <si>
    <t>1971_1Asel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</si>
</sst>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1"/>
      <name val="Calibri"/>
      <family val="2"/>
      <scheme val="minor"/>
    </font>
    <font>
      <b/>
      <sz val="8"/>
      <color indexed="81"/>
      <name val="Tahoma"/>
      <family val="2"/>
    </font>
    <font>
      <u/>
      <sz val="11"/>
      <color theme="10"/>
      <name val="Calibri"/>
      <family val="2"/>
    </font>
    <font>
      <b/>
      <sz val="18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996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23">
    <xf numFmtId="0" fontId="0" fillId="0" borderId="0" xfId="0"/>
    <xf numFmtId="0" fontId="1" fillId="0" borderId="0" xfId="1"/>
    <xf numFmtId="0" fontId="0" fillId="0" borderId="0" xfId="0" applyFont="1" applyFill="1"/>
    <xf numFmtId="11" fontId="1" fillId="0" borderId="0" xfId="1" applyNumberFormat="1"/>
    <xf numFmtId="0" fontId="1" fillId="3" borderId="0" xfId="1" applyFill="1"/>
    <xf numFmtId="0" fontId="1" fillId="0" borderId="0" xfId="1" applyAlignment="1">
      <alignment horizontal="right"/>
    </xf>
    <xf numFmtId="0" fontId="1" fillId="2" borderId="0" xfId="1" applyFill="1"/>
    <xf numFmtId="21" fontId="0" fillId="0" borderId="0" xfId="0" applyNumberFormat="1"/>
    <xf numFmtId="11" fontId="0" fillId="0" borderId="0" xfId="0" applyNumberFormat="1"/>
    <xf numFmtId="0" fontId="2" fillId="2" borderId="0" xfId="0" applyFont="1" applyFill="1"/>
    <xf numFmtId="0" fontId="0" fillId="2" borderId="0" xfId="0" applyFill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4" fillId="0" borderId="0" xfId="2" applyAlignment="1" applyProtection="1"/>
    <xf numFmtId="0" fontId="5" fillId="0" borderId="0" xfId="0" applyFont="1" applyFill="1"/>
    <xf numFmtId="0" fontId="4" fillId="0" borderId="0" xfId="2" applyAlignment="1" applyProtection="1">
      <alignment vertical="center"/>
    </xf>
    <xf numFmtId="0" fontId="0" fillId="5" borderId="0" xfId="0" applyFill="1"/>
    <xf numFmtId="0" fontId="0" fillId="0" borderId="0" xfId="0" applyNumberFormat="1"/>
    <xf numFmtId="0" fontId="6" fillId="0" borderId="0" xfId="0" applyFont="1"/>
    <xf numFmtId="0" fontId="2" fillId="0" borderId="0" xfId="0" applyFont="1"/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Summary Biomass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Time_Series!Yr</c:f>
              <c:numCache>
                <c:formatCode>General</c:formatCode>
                <c:ptCount val="3"/>
                <c:pt idx="0">
                  <c:v>1969</c:v>
                </c:pt>
                <c:pt idx="1">
                  <c:v>1970</c:v>
                </c:pt>
                <c:pt idx="2">
                  <c:v>1971</c:v>
                </c:pt>
              </c:numCache>
            </c:numRef>
          </c:xVal>
          <c:yVal>
            <c:numRef>
              <c:f>Time_Series!Bio_smry</c:f>
              <c:numCache>
                <c:formatCode>General</c:formatCode>
                <c:ptCount val="3"/>
                <c:pt idx="0">
                  <c:v>124187</c:v>
                </c:pt>
                <c:pt idx="1">
                  <c:v>124187</c:v>
                </c:pt>
                <c:pt idx="2">
                  <c:v>124187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410496"/>
        <c:axId val="233411072"/>
      </c:scatterChart>
      <c:valAx>
        <c:axId val="233410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3411072"/>
        <c:crosses val="autoZero"/>
        <c:crossBetween val="midCat"/>
      </c:valAx>
      <c:valAx>
        <c:axId val="2334110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3341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SpawnBio</c:v>
          </c:tx>
          <c:marker>
            <c:symbol val="circle"/>
            <c:size val="4"/>
          </c:marker>
          <c:xVal>
            <c:numRef>
              <c:f>Time_Series!Yr</c:f>
              <c:numCache>
                <c:formatCode>General</c:formatCode>
                <c:ptCount val="3"/>
                <c:pt idx="0">
                  <c:v>1969</c:v>
                </c:pt>
                <c:pt idx="1">
                  <c:v>1970</c:v>
                </c:pt>
                <c:pt idx="2">
                  <c:v>1971</c:v>
                </c:pt>
              </c:numCache>
            </c:numRef>
          </c:xVal>
          <c:yVal>
            <c:numRef>
              <c:f>Time_Series!SpawnBio</c:f>
              <c:numCache>
                <c:formatCode>General</c:formatCode>
                <c:ptCount val="3"/>
                <c:pt idx="0">
                  <c:v>49926.1</c:v>
                </c:pt>
                <c:pt idx="1">
                  <c:v>49926.1</c:v>
                </c:pt>
                <c:pt idx="2">
                  <c:v>49926.1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412800"/>
        <c:axId val="233413376"/>
      </c:scatterChart>
      <c:scatterChart>
        <c:scatterStyle val="lineMarker"/>
        <c:varyColors val="0"/>
        <c:ser>
          <c:idx val="1"/>
          <c:order val="1"/>
          <c:tx>
            <c:v>Recruits</c:v>
          </c:tx>
          <c:marker>
            <c:symbol val="none"/>
          </c:marker>
          <c:xVal>
            <c:numRef>
              <c:f>Time_Series!Yr</c:f>
              <c:numCache>
                <c:formatCode>General</c:formatCode>
                <c:ptCount val="3"/>
                <c:pt idx="0">
                  <c:v>1969</c:v>
                </c:pt>
                <c:pt idx="1">
                  <c:v>1970</c:v>
                </c:pt>
                <c:pt idx="2">
                  <c:v>1971</c:v>
                </c:pt>
              </c:numCache>
            </c:numRef>
          </c:xVal>
          <c:yVal>
            <c:numRef>
              <c:f>Time_Series!Recruit_0</c:f>
              <c:numCache>
                <c:formatCode>General</c:formatCode>
                <c:ptCount val="3"/>
                <c:pt idx="0">
                  <c:v>6737.44</c:v>
                </c:pt>
                <c:pt idx="1">
                  <c:v>6737.44</c:v>
                </c:pt>
                <c:pt idx="2">
                  <c:v>6394.85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299392"/>
        <c:axId val="233413952"/>
      </c:scatterChart>
      <c:valAx>
        <c:axId val="233412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3413376"/>
        <c:crosses val="autoZero"/>
        <c:crossBetween val="midCat"/>
      </c:valAx>
      <c:valAx>
        <c:axId val="2334133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33412800"/>
        <c:crosses val="autoZero"/>
        <c:crossBetween val="midCat"/>
      </c:valAx>
      <c:valAx>
        <c:axId val="2334139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234299392"/>
        <c:crosses val="max"/>
        <c:crossBetween val="midCat"/>
      </c:valAx>
      <c:valAx>
        <c:axId val="2342993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2334139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1176712824690044"/>
          <c:y val="0.56450460546364289"/>
          <c:w val="0.20130758439677801"/>
          <c:h val="0.18060337963372555"/>
        </c:manualLayout>
      </c:layout>
      <c:overlay val="1"/>
    </c:legend>
    <c:plotVisOnly val="1"/>
    <c:dispBlanksAs val="gap"/>
    <c:showDLblsOverMax val="0"/>
  </c:chart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82174103237124"/>
          <c:y val="5.1400554097404488E-2"/>
          <c:w val="0.73492585301838054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Annual!$O$8</c:f>
              <c:strCache>
                <c:ptCount val="1"/>
                <c:pt idx="0">
                  <c:v>Bio_Smry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1971</c:v>
                </c:pt>
                <c:pt idx="1">
                  <c:v>1972</c:v>
                </c:pt>
              </c:numCache>
            </c:numRef>
          </c:xVal>
          <c:yVal>
            <c:numRef>
              <c:f>Annual!Bio_smry</c:f>
              <c:numCache>
                <c:formatCode>General</c:formatCode>
                <c:ptCount val="2"/>
                <c:pt idx="0">
                  <c:v>124187</c:v>
                </c:pt>
                <c:pt idx="1">
                  <c:v>124127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01120"/>
        <c:axId val="234301696"/>
      </c:scatterChart>
      <c:scatterChart>
        <c:scatterStyle val="lineMarker"/>
        <c:varyColors val="0"/>
        <c:ser>
          <c:idx val="1"/>
          <c:order val="1"/>
          <c:tx>
            <c:strRef>
              <c:f>Annual!$Q$8</c:f>
              <c:strCache>
                <c:ptCount val="1"/>
                <c:pt idx="0">
                  <c:v>MnAge_Smry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1971</c:v>
                </c:pt>
                <c:pt idx="1">
                  <c:v>1972</c:v>
                </c:pt>
              </c:numCache>
            </c:numRef>
          </c:xVal>
          <c:yVal>
            <c:numRef>
              <c:f>Annual!Dead_Catch</c:f>
              <c:numCache>
                <c:formatCode>General</c:formatCode>
                <c:ptCount val="2"/>
                <c:pt idx="0">
                  <c:v>10.315899999999999</c:v>
                </c:pt>
                <c:pt idx="1">
                  <c:v>10.3612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02848"/>
        <c:axId val="234302272"/>
      </c:scatterChart>
      <c:valAx>
        <c:axId val="234301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4301696"/>
        <c:crosses val="autoZero"/>
        <c:crossBetween val="midCat"/>
      </c:valAx>
      <c:valAx>
        <c:axId val="2343016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34301120"/>
        <c:crosses val="autoZero"/>
        <c:crossBetween val="midCat"/>
      </c:valAx>
      <c:valAx>
        <c:axId val="2343022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234302848"/>
        <c:crosses val="max"/>
        <c:crossBetween val="midCat"/>
      </c:valAx>
      <c:valAx>
        <c:axId val="234302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2343022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5804155730533674"/>
          <c:y val="9.6838363954505707E-2"/>
          <c:w val="0.3316774234231083"/>
          <c:h val="0.30327737334720201"/>
        </c:manualLayout>
      </c:layout>
      <c:overlay val="0"/>
    </c:legend>
    <c:plotVisOnly val="1"/>
    <c:dispBlanksAs val="gap"/>
    <c:showDLblsOverMax val="0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82174103237124"/>
          <c:y val="5.1400554097404488E-2"/>
          <c:w val="0.7349258530183812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Annual!$S$8</c:f>
              <c:strCache>
                <c:ptCount val="1"/>
                <c:pt idx="0">
                  <c:v>Dead_Catch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1971</c:v>
                </c:pt>
                <c:pt idx="1">
                  <c:v>1972</c:v>
                </c:pt>
              </c:numCache>
            </c:numRef>
          </c:xVal>
          <c:yVal>
            <c:numRef>
              <c:f>Annual!SPB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04576"/>
        <c:axId val="234305152"/>
      </c:scatterChart>
      <c:scatterChart>
        <c:scatterStyle val="lineMarker"/>
        <c:varyColors val="0"/>
        <c:ser>
          <c:idx val="1"/>
          <c:order val="1"/>
          <c:tx>
            <c:v>Recruits</c:v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1971</c:v>
                </c:pt>
                <c:pt idx="1">
                  <c:v>1972</c:v>
                </c:pt>
              </c:numCache>
            </c:numRef>
          </c:xVal>
          <c:yVal>
            <c:numRef>
              <c:f>Annual!Recruits</c:f>
              <c:numCache>
                <c:formatCode>General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06304"/>
        <c:axId val="234305728"/>
      </c:scatterChart>
      <c:valAx>
        <c:axId val="234304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4305152"/>
        <c:crosses val="autoZero"/>
        <c:crossBetween val="midCat"/>
      </c:valAx>
      <c:valAx>
        <c:axId val="2343051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34304576"/>
        <c:crosses val="autoZero"/>
        <c:crossBetween val="midCat"/>
      </c:valAx>
      <c:valAx>
        <c:axId val="234305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234306304"/>
        <c:crosses val="max"/>
        <c:crossBetween val="midCat"/>
      </c:valAx>
      <c:valAx>
        <c:axId val="2343063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2343057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5804155730533674"/>
          <c:y val="9.6838363954505707E-2"/>
          <c:w val="0.26385752945988888"/>
          <c:h val="0.30327737334720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82174103237124"/>
          <c:y val="5.1400554097404488E-2"/>
          <c:w val="0.73492585301838187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Annual!$H$8</c:f>
              <c:strCache>
                <c:ptCount val="1"/>
                <c:pt idx="0">
                  <c:v>SPR_std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1971</c:v>
                </c:pt>
                <c:pt idx="1">
                  <c:v>1972</c:v>
                </c:pt>
              </c:numCache>
            </c:numRef>
          </c:xVal>
          <c:yVal>
            <c:numRef>
              <c:f>Annual!SPR_std</c:f>
              <c:numCache>
                <c:formatCode>General</c:formatCode>
                <c:ptCount val="2"/>
                <c:pt idx="1">
                  <c:v>3.9207899999999997E-2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49120"/>
        <c:axId val="234349696"/>
      </c:scatterChart>
      <c:scatterChart>
        <c:scatterStyle val="lineMarker"/>
        <c:varyColors val="0"/>
        <c:ser>
          <c:idx val="1"/>
          <c:order val="1"/>
          <c:tx>
            <c:strRef>
              <c:f>Annual!$L$8</c:f>
              <c:strCache>
                <c:ptCount val="1"/>
                <c:pt idx="0">
                  <c:v>F_std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1971</c:v>
                </c:pt>
                <c:pt idx="1">
                  <c:v>1972</c:v>
                </c:pt>
              </c:numCache>
            </c:numRef>
          </c:xVal>
          <c:yVal>
            <c:numRef>
              <c:f>Annual!F_std</c:f>
              <c:numCache>
                <c:formatCode>General</c:formatCode>
                <c:ptCount val="2"/>
                <c:pt idx="1">
                  <c:v>1.8605500000000001E-2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50848"/>
        <c:axId val="234350272"/>
      </c:scatterChart>
      <c:valAx>
        <c:axId val="234349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4349696"/>
        <c:crosses val="autoZero"/>
        <c:crossBetween val="midCat"/>
      </c:valAx>
      <c:valAx>
        <c:axId val="234349696"/>
        <c:scaling>
          <c:orientation val="minMax"/>
        </c:scaling>
        <c:delete val="0"/>
        <c:axPos val="l"/>
        <c:numFmt formatCode="#,##0.00" sourceLinked="0"/>
        <c:majorTickMark val="out"/>
        <c:minorTickMark val="none"/>
        <c:tickLblPos val="nextTo"/>
        <c:crossAx val="234349120"/>
        <c:crosses val="autoZero"/>
        <c:crossBetween val="midCat"/>
      </c:valAx>
      <c:valAx>
        <c:axId val="234350272"/>
        <c:scaling>
          <c:orientation val="minMax"/>
        </c:scaling>
        <c:delete val="0"/>
        <c:axPos val="r"/>
        <c:numFmt formatCode="#,##0.00" sourceLinked="0"/>
        <c:majorTickMark val="out"/>
        <c:minorTickMark val="none"/>
        <c:tickLblPos val="nextTo"/>
        <c:crossAx val="234350848"/>
        <c:crosses val="max"/>
        <c:crossBetween val="midCat"/>
      </c:valAx>
      <c:valAx>
        <c:axId val="234350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2343502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938333065363595"/>
          <c:y val="9.6838178246587095E-2"/>
          <c:w val="0.2981344354097743"/>
          <c:h val="0.22780567523399187"/>
        </c:manualLayout>
      </c:layout>
      <c:overlay val="0"/>
    </c:legend>
    <c:plotVisOnly val="1"/>
    <c:dispBlanksAs val="gap"/>
    <c:showDLblsOverMax val="0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82174103237124"/>
          <c:y val="5.1400554097404488E-2"/>
          <c:w val="0.73492585301838254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Annual!$Q$8</c:f>
              <c:strCache>
                <c:ptCount val="1"/>
                <c:pt idx="0">
                  <c:v>MnAge_Smry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1971</c:v>
                </c:pt>
                <c:pt idx="1">
                  <c:v>1972</c:v>
                </c:pt>
              </c:numCache>
            </c:numRef>
          </c:xVal>
          <c:yVal>
            <c:numRef>
              <c:f>Annual!Dead_Catch</c:f>
              <c:numCache>
                <c:formatCode>General</c:formatCode>
                <c:ptCount val="2"/>
                <c:pt idx="0">
                  <c:v>10.315899999999999</c:v>
                </c:pt>
                <c:pt idx="1">
                  <c:v>10.3612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52576"/>
        <c:axId val="234353152"/>
      </c:scatterChart>
      <c:scatterChart>
        <c:scatterStyle val="lineMarker"/>
        <c:varyColors val="0"/>
        <c:ser>
          <c:idx val="1"/>
          <c:order val="1"/>
          <c:tx>
            <c:strRef>
              <c:f>Annual!$L$8</c:f>
              <c:strCache>
                <c:ptCount val="1"/>
                <c:pt idx="0">
                  <c:v>F_std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1971</c:v>
                </c:pt>
                <c:pt idx="1">
                  <c:v>1972</c:v>
                </c:pt>
              </c:numCache>
            </c:numRef>
          </c:xVal>
          <c:yVal>
            <c:numRef>
              <c:f>Annual!F_std</c:f>
              <c:numCache>
                <c:formatCode>General</c:formatCode>
                <c:ptCount val="2"/>
                <c:pt idx="1">
                  <c:v>1.8605500000000001E-2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54304"/>
        <c:axId val="234353728"/>
      </c:scatterChart>
      <c:valAx>
        <c:axId val="234352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4353152"/>
        <c:crosses val="autoZero"/>
        <c:crossBetween val="midCat"/>
      </c:valAx>
      <c:valAx>
        <c:axId val="234353152"/>
        <c:scaling>
          <c:orientation val="minMax"/>
        </c:scaling>
        <c:delete val="0"/>
        <c:axPos val="l"/>
        <c:numFmt formatCode="0" sourceLinked="0"/>
        <c:majorTickMark val="out"/>
        <c:minorTickMark val="none"/>
        <c:tickLblPos val="nextTo"/>
        <c:crossAx val="234352576"/>
        <c:crosses val="autoZero"/>
        <c:crossBetween val="midCat"/>
      </c:valAx>
      <c:valAx>
        <c:axId val="234353728"/>
        <c:scaling>
          <c:orientation val="minMax"/>
        </c:scaling>
        <c:delete val="0"/>
        <c:axPos val="r"/>
        <c:numFmt formatCode="#,##0.00" sourceLinked="0"/>
        <c:majorTickMark val="out"/>
        <c:minorTickMark val="none"/>
        <c:tickLblPos val="nextTo"/>
        <c:crossAx val="234354304"/>
        <c:crosses val="max"/>
        <c:crossBetween val="midCat"/>
      </c:valAx>
      <c:valAx>
        <c:axId val="2343543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2343537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938333065363595"/>
          <c:y val="9.6838178246587095E-2"/>
          <c:w val="0.39457052594811176"/>
          <c:h val="0.278120140642797"/>
        </c:manualLayout>
      </c:layout>
      <c:overlay val="0"/>
    </c:legend>
    <c:plotVisOnly val="1"/>
    <c:dispBlanksAs val="gap"/>
    <c:showDLblsOverMax val="0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SRR!$C$14</c:f>
              <c:strCache>
                <c:ptCount val="1"/>
                <c:pt idx="0">
                  <c:v>exp_recr</c:v>
                </c:pt>
              </c:strCache>
            </c:strRef>
          </c:tx>
          <c:marker>
            <c:symbol val="none"/>
          </c:marker>
          <c:xVal>
            <c:numRef>
              <c:f>SRR!$B$16:$B$17</c:f>
              <c:numCache>
                <c:formatCode>General</c:formatCode>
                <c:ptCount val="2"/>
                <c:pt idx="0">
                  <c:v>49926.1</c:v>
                </c:pt>
                <c:pt idx="1">
                  <c:v>49926.1</c:v>
                </c:pt>
              </c:numCache>
            </c:numRef>
          </c:xVal>
          <c:yVal>
            <c:numRef>
              <c:f>SRR!$C$16:$C$17</c:f>
              <c:numCache>
                <c:formatCode>General</c:formatCode>
                <c:ptCount val="2"/>
                <c:pt idx="0">
                  <c:v>6737.44</c:v>
                </c:pt>
                <c:pt idx="1">
                  <c:v>6737.44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SRR!$D$14</c:f>
              <c:strCache>
                <c:ptCount val="1"/>
                <c:pt idx="0">
                  <c:v>with_env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none"/>
          </c:marker>
          <c:xVal>
            <c:numRef>
              <c:f>SRR!$B$16:$B$17</c:f>
              <c:numCache>
                <c:formatCode>General</c:formatCode>
                <c:ptCount val="2"/>
                <c:pt idx="0">
                  <c:v>49926.1</c:v>
                </c:pt>
                <c:pt idx="1">
                  <c:v>49926.1</c:v>
                </c:pt>
              </c:numCache>
            </c:numRef>
          </c:xVal>
          <c:yVal>
            <c:numRef>
              <c:f>SRR!$D$16:$D$17</c:f>
              <c:numCache>
                <c:formatCode>General</c:formatCode>
                <c:ptCount val="2"/>
                <c:pt idx="0">
                  <c:v>6737.44</c:v>
                </c:pt>
                <c:pt idx="1">
                  <c:v>6737.44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SRR!$E$14</c:f>
              <c:strCache>
                <c:ptCount val="1"/>
                <c:pt idx="0">
                  <c:v>adjusted</c:v>
                </c:pt>
              </c:strCache>
            </c:strRef>
          </c:tx>
          <c:spPr>
            <a:ln w="12700">
              <a:solidFill>
                <a:srgbClr val="92D050"/>
              </a:solidFill>
            </a:ln>
          </c:spPr>
          <c:marker>
            <c:symbol val="x"/>
            <c:size val="3"/>
          </c:marker>
          <c:xVal>
            <c:numRef>
              <c:f>SRR!$B$16:$B$17</c:f>
              <c:numCache>
                <c:formatCode>General</c:formatCode>
                <c:ptCount val="2"/>
                <c:pt idx="0">
                  <c:v>49926.1</c:v>
                </c:pt>
                <c:pt idx="1">
                  <c:v>49926.1</c:v>
                </c:pt>
              </c:numCache>
            </c:numRef>
          </c:xVal>
          <c:yVal>
            <c:numRef>
              <c:f>SRR!$E$16:$E$17</c:f>
              <c:numCache>
                <c:formatCode>General</c:formatCode>
                <c:ptCount val="2"/>
                <c:pt idx="0">
                  <c:v>6737.44</c:v>
                </c:pt>
                <c:pt idx="1">
                  <c:v>6737.44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SRR!$F$14</c:f>
              <c:strCache>
                <c:ptCount val="1"/>
                <c:pt idx="0">
                  <c:v>pred_recr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ot"/>
            </a:ln>
          </c:spPr>
          <c:marker>
            <c:symbol val="circle"/>
            <c:size val="4"/>
            <c:spPr>
              <a:noFill/>
            </c:spPr>
          </c:marker>
          <c:xVal>
            <c:numRef>
              <c:f>SRR!$B$16:$B$17</c:f>
              <c:numCache>
                <c:formatCode>General</c:formatCode>
                <c:ptCount val="2"/>
                <c:pt idx="0">
                  <c:v>49926.1</c:v>
                </c:pt>
                <c:pt idx="1">
                  <c:v>49926.1</c:v>
                </c:pt>
              </c:numCache>
            </c:numRef>
          </c:xVal>
          <c:yVal>
            <c:numRef>
              <c:f>SRR!$F$16:$F$17</c:f>
              <c:numCache>
                <c:formatCode>General</c:formatCode>
                <c:ptCount val="2"/>
                <c:pt idx="0">
                  <c:v>6737.44</c:v>
                </c:pt>
                <c:pt idx="1">
                  <c:v>6737.44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56032"/>
        <c:axId val="235085824"/>
      </c:scatterChart>
      <c:valAx>
        <c:axId val="234356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5085824"/>
        <c:crosses val="autoZero"/>
        <c:crossBetween val="midCat"/>
      </c:valAx>
      <c:valAx>
        <c:axId val="2350858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343560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SRR!$C$14</c:f>
              <c:strCache>
                <c:ptCount val="1"/>
                <c:pt idx="0">
                  <c:v>exp_recr</c:v>
                </c:pt>
              </c:strCache>
            </c:strRef>
          </c:tx>
          <c:spPr>
            <a:ln w="31750">
              <a:solidFill>
                <a:srgbClr val="0070C0"/>
              </a:solidFill>
            </a:ln>
          </c:spPr>
          <c:marker>
            <c:symbol val="none"/>
          </c:marker>
          <c:cat>
            <c:strRef>
              <c:f>SRR!$A$16:$A$17</c:f>
              <c:strCache>
                <c:ptCount val="2"/>
                <c:pt idx="0">
                  <c:v>Virg</c:v>
                </c:pt>
                <c:pt idx="1">
                  <c:v>Init</c:v>
                </c:pt>
              </c:strCache>
            </c:strRef>
          </c:cat>
          <c:val>
            <c:numRef>
              <c:f>SRR!$C$16:$C$17</c:f>
              <c:numCache>
                <c:formatCode>General</c:formatCode>
                <c:ptCount val="2"/>
                <c:pt idx="0">
                  <c:v>6737.44</c:v>
                </c:pt>
                <c:pt idx="1">
                  <c:v>6737.44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SRR!$D$14</c:f>
              <c:strCache>
                <c:ptCount val="1"/>
                <c:pt idx="0">
                  <c:v>with_env</c:v>
                </c:pt>
              </c:strCache>
            </c:strRef>
          </c:tx>
          <c:spPr>
            <a:ln w="19050">
              <a:prstDash val="sysDash"/>
            </a:ln>
          </c:spPr>
          <c:marker>
            <c:symbol val="none"/>
          </c:marker>
          <c:val>
            <c:numRef>
              <c:f>SRR!$D$16:$D$17</c:f>
              <c:numCache>
                <c:formatCode>General</c:formatCode>
                <c:ptCount val="2"/>
                <c:pt idx="0">
                  <c:v>6737.44</c:v>
                </c:pt>
                <c:pt idx="1">
                  <c:v>6737.44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SRR!$E$14</c:f>
              <c:strCache>
                <c:ptCount val="1"/>
                <c:pt idx="0">
                  <c:v>adjusted</c:v>
                </c:pt>
              </c:strCache>
            </c:strRef>
          </c:tx>
          <c:spPr>
            <a:ln w="12700">
              <a:solidFill>
                <a:srgbClr val="92D050"/>
              </a:solidFill>
            </a:ln>
          </c:spPr>
          <c:marker>
            <c:symbol val="x"/>
            <c:size val="5"/>
            <c:spPr>
              <a:noFill/>
              <a:ln>
                <a:solidFill>
                  <a:srgbClr val="92D050"/>
                </a:solidFill>
              </a:ln>
            </c:spPr>
          </c:marker>
          <c:val>
            <c:numRef>
              <c:f>SRR!$E$16:$E$17</c:f>
              <c:numCache>
                <c:formatCode>General</c:formatCode>
                <c:ptCount val="2"/>
                <c:pt idx="0">
                  <c:v>6737.44</c:v>
                </c:pt>
                <c:pt idx="1">
                  <c:v>6737.44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SRR!$F$14</c:f>
              <c:strCache>
                <c:ptCount val="1"/>
                <c:pt idx="0">
                  <c:v>pred_recr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</c:spPr>
          </c:marker>
          <c:val>
            <c:numRef>
              <c:f>SRR!$F$16:$F$17</c:f>
              <c:numCache>
                <c:formatCode>General</c:formatCode>
                <c:ptCount val="2"/>
                <c:pt idx="0">
                  <c:v>6737.44</c:v>
                </c:pt>
                <c:pt idx="1">
                  <c:v>6737.44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4726912"/>
        <c:axId val="235088128"/>
      </c:lineChart>
      <c:catAx>
        <c:axId val="234726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5088128"/>
        <c:crosses val="autoZero"/>
        <c:auto val="1"/>
        <c:lblAlgn val="ctr"/>
        <c:lblOffset val="100"/>
        <c:noMultiLvlLbl val="0"/>
      </c:catAx>
      <c:valAx>
        <c:axId val="2350881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347269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454984665993006"/>
          <c:y val="5.0403275425351474E-2"/>
          <c:w val="0.74526109466471913"/>
          <c:h val="0.7983878827375665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C0C0C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SURVEY!Yr</c:f>
              <c:numCache>
                <c:formatCode>General</c:formatCode>
                <c:ptCount val="5"/>
                <c:pt idx="0">
                  <c:v>339689</c:v>
                </c:pt>
                <c:pt idx="1">
                  <c:v>193353</c:v>
                </c:pt>
                <c:pt idx="2">
                  <c:v>151984</c:v>
                </c:pt>
                <c:pt idx="3">
                  <c:v>55221.8</c:v>
                </c:pt>
                <c:pt idx="4">
                  <c:v>59232.3</c:v>
                </c:pt>
              </c:numCache>
            </c:numRef>
          </c:xVal>
          <c:yVal>
            <c:numRef>
              <c:f>SURVEY!OBS</c:f>
              <c:numCache>
                <c:formatCode>General</c:formatCode>
                <c:ptCount val="5"/>
                <c:pt idx="0">
                  <c:v>1.67408</c:v>
                </c:pt>
                <c:pt idx="1">
                  <c:v>1.67408</c:v>
                </c:pt>
                <c:pt idx="2">
                  <c:v>1.67408</c:v>
                </c:pt>
                <c:pt idx="3">
                  <c:v>1.67408</c:v>
                </c:pt>
                <c:pt idx="4">
                  <c:v>1.67408</c:v>
                </c:pt>
              </c:numCache>
            </c:numRef>
          </c:yVal>
          <c:smooth val="0"/>
        </c:ser>
        <c:ser>
          <c:idx val="1"/>
          <c:order val="1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SURVEY!Yr</c:f>
              <c:numCache>
                <c:formatCode>General</c:formatCode>
                <c:ptCount val="5"/>
                <c:pt idx="0">
                  <c:v>339689</c:v>
                </c:pt>
                <c:pt idx="1">
                  <c:v>193353</c:v>
                </c:pt>
                <c:pt idx="2">
                  <c:v>151984</c:v>
                </c:pt>
                <c:pt idx="3">
                  <c:v>55221.8</c:v>
                </c:pt>
                <c:pt idx="4">
                  <c:v>59232.3</c:v>
                </c:pt>
              </c:numCache>
            </c:numRef>
          </c:xVal>
          <c:yVal>
            <c:numRef>
              <c:f>SURVEY!Exp</c:f>
              <c:numCache>
                <c:formatCode>General</c:formatCode>
                <c:ptCount val="5"/>
                <c:pt idx="0">
                  <c:v>1.67408</c:v>
                </c:pt>
                <c:pt idx="1">
                  <c:v>1.67408</c:v>
                </c:pt>
                <c:pt idx="2">
                  <c:v>1.67408</c:v>
                </c:pt>
                <c:pt idx="3">
                  <c:v>1.67408</c:v>
                </c:pt>
                <c:pt idx="4">
                  <c:v>1.67408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SURVEY!$Q$4</c:f>
              <c:strCache>
                <c:ptCount val="1"/>
                <c:pt idx="0">
                  <c:v>delete_Obs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SURVEY!Yr</c:f>
              <c:numCache>
                <c:formatCode>General</c:formatCode>
                <c:ptCount val="5"/>
                <c:pt idx="0">
                  <c:v>339689</c:v>
                </c:pt>
                <c:pt idx="1">
                  <c:v>193353</c:v>
                </c:pt>
                <c:pt idx="2">
                  <c:v>151984</c:v>
                </c:pt>
                <c:pt idx="3">
                  <c:v>55221.8</c:v>
                </c:pt>
                <c:pt idx="4">
                  <c:v>59232.3</c:v>
                </c:pt>
              </c:numCache>
            </c:numRef>
          </c:xVal>
          <c:yVal>
            <c:numRef>
              <c:f>SURVEY!delete_OBS</c:f>
              <c:numCache>
                <c:formatCode>General</c:formatCode>
                <c:ptCount val="5"/>
                <c:pt idx="0">
                  <c:v>1.67408</c:v>
                </c:pt>
                <c:pt idx="1">
                  <c:v>1.67408</c:v>
                </c:pt>
                <c:pt idx="2">
                  <c:v>1.67408</c:v>
                </c:pt>
                <c:pt idx="3">
                  <c:v>1.67408</c:v>
                </c:pt>
                <c:pt idx="4">
                  <c:v>1.67408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dash"/>
            <c:size val="8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SURVEY!Yr</c:f>
              <c:numCache>
                <c:formatCode>General</c:formatCode>
                <c:ptCount val="5"/>
                <c:pt idx="0">
                  <c:v>339689</c:v>
                </c:pt>
                <c:pt idx="1">
                  <c:v>193353</c:v>
                </c:pt>
                <c:pt idx="2">
                  <c:v>151984</c:v>
                </c:pt>
                <c:pt idx="3">
                  <c:v>55221.8</c:v>
                </c:pt>
                <c:pt idx="4">
                  <c:v>59232.3</c:v>
                </c:pt>
              </c:numCache>
            </c:numRef>
          </c:xVal>
          <c:yVal>
            <c:numRef>
              <c:f>SURVEY!se2_low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</c:ser>
        <c:ser>
          <c:idx val="4"/>
          <c:order val="4"/>
          <c:spPr>
            <a:ln w="28575">
              <a:noFill/>
            </a:ln>
          </c:spPr>
          <c:marker>
            <c:symbol val="dash"/>
            <c:size val="8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SURVEY!Yr</c:f>
              <c:numCache>
                <c:formatCode>General</c:formatCode>
                <c:ptCount val="5"/>
                <c:pt idx="0">
                  <c:v>339689</c:v>
                </c:pt>
                <c:pt idx="1">
                  <c:v>193353</c:v>
                </c:pt>
                <c:pt idx="2">
                  <c:v>151984</c:v>
                </c:pt>
                <c:pt idx="3">
                  <c:v>55221.8</c:v>
                </c:pt>
                <c:pt idx="4">
                  <c:v>59232.3</c:v>
                </c:pt>
              </c:numCache>
            </c:numRef>
          </c:xVal>
          <c:yVal>
            <c:numRef>
              <c:f>SURVEY!se2_hi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90432"/>
        <c:axId val="235091008"/>
      </c:scatterChart>
      <c:scatterChart>
        <c:scatterStyle val="lineMarker"/>
        <c:varyColors val="0"/>
        <c:ser>
          <c:idx val="5"/>
          <c:order val="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SURVEY!Yr</c:f>
              <c:numCache>
                <c:formatCode>General</c:formatCode>
                <c:ptCount val="5"/>
                <c:pt idx="0">
                  <c:v>339689</c:v>
                </c:pt>
                <c:pt idx="1">
                  <c:v>193353</c:v>
                </c:pt>
                <c:pt idx="2">
                  <c:v>151984</c:v>
                </c:pt>
                <c:pt idx="3">
                  <c:v>55221.8</c:v>
                </c:pt>
                <c:pt idx="4">
                  <c:v>59232.3</c:v>
                </c:pt>
              </c:numCache>
            </c:numRef>
          </c:xVal>
          <c:yVal>
            <c:numRef>
              <c:f>SURVEY!Eff_Q</c:f>
              <c:numCache>
                <c:formatCode>General</c:formatCode>
                <c:ptCount val="5"/>
                <c:pt idx="0">
                  <c:v>0.60748599999999997</c:v>
                </c:pt>
                <c:pt idx="1">
                  <c:v>0.17514399999999999</c:v>
                </c:pt>
                <c:pt idx="2">
                  <c:v>0.197073</c:v>
                </c:pt>
                <c:pt idx="3">
                  <c:v>-0.44506000000000001</c:v>
                </c:pt>
                <c:pt idx="4">
                  <c:v>1.4501699999999999E-2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91584"/>
        <c:axId val="235092160"/>
      </c:scatterChart>
      <c:valAx>
        <c:axId val="235090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052157579828898"/>
              <c:y val="0.925404072474816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5091008"/>
        <c:crosses val="autoZero"/>
        <c:crossBetween val="midCat"/>
        <c:majorUnit val="3"/>
      </c:valAx>
      <c:valAx>
        <c:axId val="235091008"/>
        <c:scaling>
          <c:logBase val="10"/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CPUE</a:t>
                </a:r>
              </a:p>
            </c:rich>
          </c:tx>
          <c:layout>
            <c:manualLayout>
              <c:xMode val="edge"/>
              <c:yMode val="edge"/>
              <c:x val="3.7914691943127965E-2"/>
              <c:y val="0.403226229785792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5090432"/>
        <c:crosses val="autoZero"/>
        <c:crossBetween val="midCat"/>
      </c:valAx>
      <c:valAx>
        <c:axId val="235091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235092160"/>
        <c:crosses val="autoZero"/>
        <c:crossBetween val="midCat"/>
      </c:valAx>
      <c:valAx>
        <c:axId val="23509216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Q</a:t>
                </a:r>
              </a:p>
            </c:rich>
          </c:tx>
          <c:layout>
            <c:manualLayout>
              <c:xMode val="edge"/>
              <c:yMode val="edge"/>
              <c:x val="0.93483462079088464"/>
              <c:y val="0.4314520362374084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5091584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33" r="0.75000000000000433" t="1" header="0.5" footer="0.5"/>
    <c:pageSetup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EXPECT</a:t>
            </a:r>
          </a:p>
        </c:rich>
      </c:tx>
      <c:layout>
        <c:manualLayout>
          <c:xMode val="edge"/>
          <c:yMode val="edge"/>
          <c:x val="0.44419644776236877"/>
          <c:y val="3.03030303030303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49107142857223"/>
          <c:y val="7.4592244391582033E-2"/>
          <c:w val="0.84486607142857795"/>
          <c:h val="0.69464027589660704"/>
        </c:manualLayout>
      </c:layout>
      <c:bubbleChart>
        <c:varyColors val="0"/>
        <c:ser>
          <c:idx val="0"/>
          <c:order val="0"/>
          <c:spPr>
            <a:noFill/>
            <a:ln w="12700">
              <a:solidFill>
                <a:srgbClr val="000000"/>
              </a:solidFill>
              <a:prstDash val="solid"/>
            </a:ln>
          </c:spPr>
          <c:invertIfNegative val="1"/>
          <c:xVal>
            <c:numRef>
              <c:f>Comp_Disp!Yr</c:f>
              <c:numCache>
                <c:formatCode>General</c:formatCode>
                <c:ptCount val="25"/>
                <c:pt idx="0">
                  <c:v>1971.5</c:v>
                </c:pt>
                <c:pt idx="1">
                  <c:v>1971.5</c:v>
                </c:pt>
                <c:pt idx="2">
                  <c:v>1971.5</c:v>
                </c:pt>
                <c:pt idx="3">
                  <c:v>1971.5</c:v>
                </c:pt>
                <c:pt idx="4">
                  <c:v>1971.5</c:v>
                </c:pt>
                <c:pt idx="5">
                  <c:v>1971.5</c:v>
                </c:pt>
                <c:pt idx="6">
                  <c:v>1971.5</c:v>
                </c:pt>
                <c:pt idx="7">
                  <c:v>1971.5</c:v>
                </c:pt>
                <c:pt idx="8">
                  <c:v>1971.5</c:v>
                </c:pt>
                <c:pt idx="9">
                  <c:v>1971.5</c:v>
                </c:pt>
                <c:pt idx="10">
                  <c:v>1971.5</c:v>
                </c:pt>
                <c:pt idx="11">
                  <c:v>1971.5</c:v>
                </c:pt>
                <c:pt idx="12">
                  <c:v>1971.5</c:v>
                </c:pt>
                <c:pt idx="13">
                  <c:v>1971.5</c:v>
                </c:pt>
                <c:pt idx="14">
                  <c:v>1971.5</c:v>
                </c:pt>
                <c:pt idx="15">
                  <c:v>1971.5</c:v>
                </c:pt>
                <c:pt idx="16">
                  <c:v>1971.5</c:v>
                </c:pt>
                <c:pt idx="17">
                  <c:v>1971.5</c:v>
                </c:pt>
                <c:pt idx="18">
                  <c:v>1971.5</c:v>
                </c:pt>
                <c:pt idx="19">
                  <c:v>1971.5</c:v>
                </c:pt>
                <c:pt idx="20">
                  <c:v>1971.5</c:v>
                </c:pt>
                <c:pt idx="21">
                  <c:v>1971.5</c:v>
                </c:pt>
                <c:pt idx="22">
                  <c:v>1971.5</c:v>
                </c:pt>
                <c:pt idx="23">
                  <c:v>1971.5</c:v>
                </c:pt>
                <c:pt idx="24">
                  <c:v>1971.5</c:v>
                </c:pt>
              </c:numCache>
            </c:numRef>
          </c:xVal>
          <c:yVal>
            <c:numRef>
              <c:f>Comp_Disp!Bin</c:f>
              <c:numCache>
                <c:formatCode>General</c:formatCode>
                <c:ptCount val="25"/>
                <c:pt idx="0" formatCode="0.00E+00">
                  <c:v>44</c:v>
                </c:pt>
                <c:pt idx="1">
                  <c:v>46</c:v>
                </c:pt>
                <c:pt idx="2">
                  <c:v>48</c:v>
                </c:pt>
                <c:pt idx="3">
                  <c:v>50</c:v>
                </c:pt>
                <c:pt idx="4">
                  <c:v>52</c:v>
                </c:pt>
                <c:pt idx="5">
                  <c:v>54</c:v>
                </c:pt>
                <c:pt idx="6">
                  <c:v>56</c:v>
                </c:pt>
                <c:pt idx="7">
                  <c:v>58</c:v>
                </c:pt>
                <c:pt idx="8">
                  <c:v>60</c:v>
                </c:pt>
                <c:pt idx="9">
                  <c:v>62</c:v>
                </c:pt>
                <c:pt idx="10">
                  <c:v>64</c:v>
                </c:pt>
                <c:pt idx="11">
                  <c:v>68</c:v>
                </c:pt>
                <c:pt idx="12">
                  <c:v>72</c:v>
                </c:pt>
                <c:pt idx="13">
                  <c:v>76</c:v>
                </c:pt>
                <c:pt idx="15">
                  <c:v>42</c:v>
                </c:pt>
                <c:pt idx="16">
                  <c:v>44</c:v>
                </c:pt>
                <c:pt idx="17">
                  <c:v>46</c:v>
                </c:pt>
                <c:pt idx="18">
                  <c:v>48</c:v>
                </c:pt>
                <c:pt idx="19">
                  <c:v>50</c:v>
                </c:pt>
                <c:pt idx="20">
                  <c:v>52</c:v>
                </c:pt>
                <c:pt idx="21">
                  <c:v>54</c:v>
                </c:pt>
                <c:pt idx="22">
                  <c:v>56</c:v>
                </c:pt>
                <c:pt idx="23">
                  <c:v>58</c:v>
                </c:pt>
                <c:pt idx="24">
                  <c:v>60</c:v>
                </c:pt>
              </c:numCache>
            </c:numRef>
          </c:yVal>
          <c:bubbleSize>
            <c:numRef>
              <c:f>Comp_Disp!Exp</c:f>
              <c:numCache>
                <c:formatCode>0.00E+00</c:formatCode>
                <c:ptCount val="25"/>
                <c:pt idx="0">
                  <c:v>2.5721899999999999E-2</c:v>
                </c:pt>
                <c:pt idx="1">
                  <c:v>9.0595999999999993E-3</c:v>
                </c:pt>
                <c:pt idx="2">
                  <c:v>1.15873E-2</c:v>
                </c:pt>
                <c:pt idx="3" formatCode="General">
                  <c:v>1.4596700000000001E-2</c:v>
                </c:pt>
                <c:pt idx="4">
                  <c:v>1.80786E-2</c:v>
                </c:pt>
                <c:pt idx="5">
                  <c:v>2.198E-2</c:v>
                </c:pt>
                <c:pt idx="6">
                  <c:v>2.6200000000000001E-2</c:v>
                </c:pt>
                <c:pt idx="7">
                  <c:v>3.0573300000000001E-2</c:v>
                </c:pt>
                <c:pt idx="8">
                  <c:v>3.4832399999999999E-2</c:v>
                </c:pt>
                <c:pt idx="9">
                  <c:v>3.8568999999999999E-2</c:v>
                </c:pt>
                <c:pt idx="10">
                  <c:v>8.3499299999999999E-2</c:v>
                </c:pt>
                <c:pt idx="11">
                  <c:v>7.9046199999999997E-2</c:v>
                </c:pt>
                <c:pt idx="12">
                  <c:v>5.89586E-2</c:v>
                </c:pt>
                <c:pt idx="13">
                  <c:v>5.2298299999999999E-2</c:v>
                </c:pt>
                <c:pt idx="15">
                  <c:v>1.86897E-2</c:v>
                </c:pt>
                <c:pt idx="16">
                  <c:v>7.1161599999999998E-3</c:v>
                </c:pt>
                <c:pt idx="17">
                  <c:v>9.3232300000000001E-3</c:v>
                </c:pt>
                <c:pt idx="18">
                  <c:v>1.20789E-2</c:v>
                </c:pt>
                <c:pt idx="19">
                  <c:v>1.5430599999999999E-2</c:v>
                </c:pt>
                <c:pt idx="20">
                  <c:v>1.93879E-2</c:v>
                </c:pt>
                <c:pt idx="21">
                  <c:v>2.3881200000000002E-2</c:v>
                </c:pt>
                <c:pt idx="22">
                  <c:v>2.8722500000000002E-2</c:v>
                </c:pt>
                <c:pt idx="23">
                  <c:v>3.35728E-2</c:v>
                </c:pt>
                <c:pt idx="24">
                  <c:v>3.79303E-2</c:v>
                </c:pt>
              </c:numCache>
            </c:numRef>
          </c:bubbleSize>
          <c:bubble3D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25"/>
        <c:showNegBubbles val="0"/>
        <c:axId val="234620032"/>
        <c:axId val="234620608"/>
      </c:bubbleChart>
      <c:valAx>
        <c:axId val="2346200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000000605460645"/>
              <c:y val="0.871796829592110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4620608"/>
        <c:crosses val="autoZero"/>
        <c:crossBetween val="midCat"/>
      </c:valAx>
      <c:valAx>
        <c:axId val="23462060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E+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462003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55" r="0.7500000000000045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44074844074904E-2"/>
          <c:y val="8.1018701666263529E-2"/>
          <c:w val="0.89189189189189633"/>
          <c:h val="0.71296457466312413"/>
        </c:manualLayout>
      </c:layout>
      <c:bubbleChart>
        <c:varyColors val="0"/>
        <c:ser>
          <c:idx val="0"/>
          <c:order val="0"/>
          <c:spPr>
            <a:solidFill>
              <a:srgbClr val="4F81BD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xVal>
            <c:numRef>
              <c:f>Comp_Disp!Yr</c:f>
              <c:numCache>
                <c:formatCode>General</c:formatCode>
                <c:ptCount val="25"/>
                <c:pt idx="0">
                  <c:v>1971.5</c:v>
                </c:pt>
                <c:pt idx="1">
                  <c:v>1971.5</c:v>
                </c:pt>
                <c:pt idx="2">
                  <c:v>1971.5</c:v>
                </c:pt>
                <c:pt idx="3">
                  <c:v>1971.5</c:v>
                </c:pt>
                <c:pt idx="4">
                  <c:v>1971.5</c:v>
                </c:pt>
                <c:pt idx="5">
                  <c:v>1971.5</c:v>
                </c:pt>
                <c:pt idx="6">
                  <c:v>1971.5</c:v>
                </c:pt>
                <c:pt idx="7">
                  <c:v>1971.5</c:v>
                </c:pt>
                <c:pt idx="8">
                  <c:v>1971.5</c:v>
                </c:pt>
                <c:pt idx="9">
                  <c:v>1971.5</c:v>
                </c:pt>
                <c:pt idx="10">
                  <c:v>1971.5</c:v>
                </c:pt>
                <c:pt idx="11">
                  <c:v>1971.5</c:v>
                </c:pt>
                <c:pt idx="12">
                  <c:v>1971.5</c:v>
                </c:pt>
                <c:pt idx="13">
                  <c:v>1971.5</c:v>
                </c:pt>
                <c:pt idx="14">
                  <c:v>1971.5</c:v>
                </c:pt>
                <c:pt idx="15">
                  <c:v>1971.5</c:v>
                </c:pt>
                <c:pt idx="16">
                  <c:v>1971.5</c:v>
                </c:pt>
                <c:pt idx="17">
                  <c:v>1971.5</c:v>
                </c:pt>
                <c:pt idx="18">
                  <c:v>1971.5</c:v>
                </c:pt>
                <c:pt idx="19">
                  <c:v>1971.5</c:v>
                </c:pt>
                <c:pt idx="20">
                  <c:v>1971.5</c:v>
                </c:pt>
                <c:pt idx="21">
                  <c:v>1971.5</c:v>
                </c:pt>
                <c:pt idx="22">
                  <c:v>1971.5</c:v>
                </c:pt>
                <c:pt idx="23">
                  <c:v>1971.5</c:v>
                </c:pt>
                <c:pt idx="24">
                  <c:v>1971.5</c:v>
                </c:pt>
              </c:numCache>
            </c:numRef>
          </c:xVal>
          <c:yVal>
            <c:numRef>
              <c:f>Comp_Disp!Bin</c:f>
              <c:numCache>
                <c:formatCode>General</c:formatCode>
                <c:ptCount val="25"/>
                <c:pt idx="0" formatCode="0.00E+00">
                  <c:v>44</c:v>
                </c:pt>
                <c:pt idx="1">
                  <c:v>46</c:v>
                </c:pt>
                <c:pt idx="2">
                  <c:v>48</c:v>
                </c:pt>
                <c:pt idx="3">
                  <c:v>50</c:v>
                </c:pt>
                <c:pt idx="4">
                  <c:v>52</c:v>
                </c:pt>
                <c:pt idx="5">
                  <c:v>54</c:v>
                </c:pt>
                <c:pt idx="6">
                  <c:v>56</c:v>
                </c:pt>
                <c:pt idx="7">
                  <c:v>58</c:v>
                </c:pt>
                <c:pt idx="8">
                  <c:v>60</c:v>
                </c:pt>
                <c:pt idx="9">
                  <c:v>62</c:v>
                </c:pt>
                <c:pt idx="10">
                  <c:v>64</c:v>
                </c:pt>
                <c:pt idx="11">
                  <c:v>68</c:v>
                </c:pt>
                <c:pt idx="12">
                  <c:v>72</c:v>
                </c:pt>
                <c:pt idx="13">
                  <c:v>76</c:v>
                </c:pt>
                <c:pt idx="15">
                  <c:v>42</c:v>
                </c:pt>
                <c:pt idx="16">
                  <c:v>44</c:v>
                </c:pt>
                <c:pt idx="17">
                  <c:v>46</c:v>
                </c:pt>
                <c:pt idx="18">
                  <c:v>48</c:v>
                </c:pt>
                <c:pt idx="19">
                  <c:v>50</c:v>
                </c:pt>
                <c:pt idx="20">
                  <c:v>52</c:v>
                </c:pt>
                <c:pt idx="21">
                  <c:v>54</c:v>
                </c:pt>
                <c:pt idx="22">
                  <c:v>56</c:v>
                </c:pt>
                <c:pt idx="23">
                  <c:v>58</c:v>
                </c:pt>
                <c:pt idx="24">
                  <c:v>60</c:v>
                </c:pt>
              </c:numCache>
            </c:numRef>
          </c:yVal>
          <c:bubbleSize>
            <c:numRef>
              <c:f>Comp_Disp!Pearson</c:f>
              <c:numCache>
                <c:formatCode>General</c:formatCode>
                <c:ptCount val="25"/>
                <c:pt idx="0">
                  <c:v>0.44339499999999998</c:v>
                </c:pt>
                <c:pt idx="1">
                  <c:v>-0.12502199999999999</c:v>
                </c:pt>
                <c:pt idx="2">
                  <c:v>-0.37476199999999998</c:v>
                </c:pt>
                <c:pt idx="3">
                  <c:v>0.130827</c:v>
                </c:pt>
                <c:pt idx="4">
                  <c:v>1.16821</c:v>
                </c:pt>
                <c:pt idx="5">
                  <c:v>-1.0660400000000001</c:v>
                </c:pt>
                <c:pt idx="6">
                  <c:v>0.96593200000000001</c:v>
                </c:pt>
                <c:pt idx="7">
                  <c:v>1.1317299999999999</c:v>
                </c:pt>
                <c:pt idx="8">
                  <c:v>-1.1483300000000001</c:v>
                </c:pt>
                <c:pt idx="9">
                  <c:v>-0.84587599999999996</c:v>
                </c:pt>
                <c:pt idx="10">
                  <c:v>0.18189</c:v>
                </c:pt>
                <c:pt idx="11">
                  <c:v>-0.62348300000000001</c:v>
                </c:pt>
                <c:pt idx="12">
                  <c:v>-1.2796000000000001</c:v>
                </c:pt>
                <c:pt idx="13">
                  <c:v>-0.61761900000000003</c:v>
                </c:pt>
                <c:pt idx="15">
                  <c:v>-0.882498</c:v>
                </c:pt>
                <c:pt idx="16">
                  <c:v>-0.94650400000000001</c:v>
                </c:pt>
                <c:pt idx="17">
                  <c:v>-0.15392700000000001</c:v>
                </c:pt>
                <c:pt idx="18">
                  <c:v>1.22011</c:v>
                </c:pt>
                <c:pt idx="19">
                  <c:v>-1.3996500000000001</c:v>
                </c:pt>
                <c:pt idx="20">
                  <c:v>0.37397599999999998</c:v>
                </c:pt>
                <c:pt idx="21">
                  <c:v>0.59452400000000005</c:v>
                </c:pt>
                <c:pt idx="22">
                  <c:v>-0.85161500000000001</c:v>
                </c:pt>
                <c:pt idx="23">
                  <c:v>-9.7621899999999998E-2</c:v>
                </c:pt>
                <c:pt idx="24">
                  <c:v>0.121131</c:v>
                </c:pt>
              </c:numCache>
            </c:numRef>
          </c:bubbleSize>
          <c:bubble3D val="0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20"/>
        <c:showNegBubbles val="1"/>
        <c:axId val="234622336"/>
        <c:axId val="234622912"/>
      </c:bubbleChart>
      <c:valAx>
        <c:axId val="234622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064447769480729"/>
              <c:y val="0.8958353981976024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4622912"/>
        <c:crosses val="autoZero"/>
        <c:crossBetween val="midCat"/>
      </c:valAx>
      <c:valAx>
        <c:axId val="2346229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E+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462233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55" r="0.75000000000000455" t="1" header="0.5" footer="0.5"/>
    <c:pageSetup orientation="landscape" horizontalDpi="200" verticalDpi="20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OBSERVE</a:t>
            </a:r>
          </a:p>
        </c:rich>
      </c:tx>
      <c:layout>
        <c:manualLayout>
          <c:xMode val="edge"/>
          <c:yMode val="edge"/>
          <c:x val="0.44556290089407552"/>
          <c:y val="3.03030303030303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980830149973468E-2"/>
          <c:y val="8.1585267303293268E-2"/>
          <c:w val="0.86093359595400953"/>
          <c:h val="0.6736612071614847"/>
        </c:manualLayout>
      </c:layout>
      <c:bubbleChart>
        <c:varyColors val="0"/>
        <c:ser>
          <c:idx val="0"/>
          <c:order val="0"/>
          <c:spPr>
            <a:noFill/>
            <a:ln w="12700">
              <a:solidFill>
                <a:srgbClr val="000000"/>
              </a:solidFill>
              <a:prstDash val="solid"/>
            </a:ln>
          </c:spPr>
          <c:invertIfNegative val="1"/>
          <c:xVal>
            <c:numRef>
              <c:f>Comp_Disp!Yr</c:f>
              <c:numCache>
                <c:formatCode>General</c:formatCode>
                <c:ptCount val="25"/>
                <c:pt idx="0">
                  <c:v>1971.5</c:v>
                </c:pt>
                <c:pt idx="1">
                  <c:v>1971.5</c:v>
                </c:pt>
                <c:pt idx="2">
                  <c:v>1971.5</c:v>
                </c:pt>
                <c:pt idx="3">
                  <c:v>1971.5</c:v>
                </c:pt>
                <c:pt idx="4">
                  <c:v>1971.5</c:v>
                </c:pt>
                <c:pt idx="5">
                  <c:v>1971.5</c:v>
                </c:pt>
                <c:pt idx="6">
                  <c:v>1971.5</c:v>
                </c:pt>
                <c:pt idx="7">
                  <c:v>1971.5</c:v>
                </c:pt>
                <c:pt idx="8">
                  <c:v>1971.5</c:v>
                </c:pt>
                <c:pt idx="9">
                  <c:v>1971.5</c:v>
                </c:pt>
                <c:pt idx="10">
                  <c:v>1971.5</c:v>
                </c:pt>
                <c:pt idx="11">
                  <c:v>1971.5</c:v>
                </c:pt>
                <c:pt idx="12">
                  <c:v>1971.5</c:v>
                </c:pt>
                <c:pt idx="13">
                  <c:v>1971.5</c:v>
                </c:pt>
                <c:pt idx="14">
                  <c:v>1971.5</c:v>
                </c:pt>
                <c:pt idx="15">
                  <c:v>1971.5</c:v>
                </c:pt>
                <c:pt idx="16">
                  <c:v>1971.5</c:v>
                </c:pt>
                <c:pt idx="17">
                  <c:v>1971.5</c:v>
                </c:pt>
                <c:pt idx="18">
                  <c:v>1971.5</c:v>
                </c:pt>
                <c:pt idx="19">
                  <c:v>1971.5</c:v>
                </c:pt>
                <c:pt idx="20">
                  <c:v>1971.5</c:v>
                </c:pt>
                <c:pt idx="21">
                  <c:v>1971.5</c:v>
                </c:pt>
                <c:pt idx="22">
                  <c:v>1971.5</c:v>
                </c:pt>
                <c:pt idx="23">
                  <c:v>1971.5</c:v>
                </c:pt>
                <c:pt idx="24">
                  <c:v>1971.5</c:v>
                </c:pt>
              </c:numCache>
            </c:numRef>
          </c:xVal>
          <c:yVal>
            <c:numRef>
              <c:f>Comp_Disp!Bin</c:f>
              <c:numCache>
                <c:formatCode>General</c:formatCode>
                <c:ptCount val="25"/>
                <c:pt idx="0" formatCode="0.00E+00">
                  <c:v>44</c:v>
                </c:pt>
                <c:pt idx="1">
                  <c:v>46</c:v>
                </c:pt>
                <c:pt idx="2">
                  <c:v>48</c:v>
                </c:pt>
                <c:pt idx="3">
                  <c:v>50</c:v>
                </c:pt>
                <c:pt idx="4">
                  <c:v>52</c:v>
                </c:pt>
                <c:pt idx="5">
                  <c:v>54</c:v>
                </c:pt>
                <c:pt idx="6">
                  <c:v>56</c:v>
                </c:pt>
                <c:pt idx="7">
                  <c:v>58</c:v>
                </c:pt>
                <c:pt idx="8">
                  <c:v>60</c:v>
                </c:pt>
                <c:pt idx="9">
                  <c:v>62</c:v>
                </c:pt>
                <c:pt idx="10">
                  <c:v>64</c:v>
                </c:pt>
                <c:pt idx="11">
                  <c:v>68</c:v>
                </c:pt>
                <c:pt idx="12">
                  <c:v>72</c:v>
                </c:pt>
                <c:pt idx="13">
                  <c:v>76</c:v>
                </c:pt>
                <c:pt idx="15">
                  <c:v>42</c:v>
                </c:pt>
                <c:pt idx="16">
                  <c:v>44</c:v>
                </c:pt>
                <c:pt idx="17">
                  <c:v>46</c:v>
                </c:pt>
                <c:pt idx="18">
                  <c:v>48</c:v>
                </c:pt>
                <c:pt idx="19">
                  <c:v>50</c:v>
                </c:pt>
                <c:pt idx="20">
                  <c:v>52</c:v>
                </c:pt>
                <c:pt idx="21">
                  <c:v>54</c:v>
                </c:pt>
                <c:pt idx="22">
                  <c:v>56</c:v>
                </c:pt>
                <c:pt idx="23">
                  <c:v>58</c:v>
                </c:pt>
                <c:pt idx="24">
                  <c:v>60</c:v>
                </c:pt>
              </c:numCache>
            </c:numRef>
          </c:yVal>
          <c:bubbleSize>
            <c:numRef>
              <c:f>Comp_Disp!Obs</c:f>
              <c:numCache>
                <c:formatCode>General</c:formatCode>
                <c:ptCount val="25"/>
                <c:pt idx="0" formatCode="0.00E+00">
                  <c:v>3.2000000000000001E-2</c:v>
                </c:pt>
                <c:pt idx="1">
                  <c:v>8.0000799999999997E-3</c:v>
                </c:pt>
                <c:pt idx="2">
                  <c:v>8.0000799999999997E-3</c:v>
                </c:pt>
                <c:pt idx="3" formatCode="0.00E+00">
                  <c:v>1.60001E-2</c:v>
                </c:pt>
                <c:pt idx="4">
                  <c:v>3.2000000000000001E-2</c:v>
                </c:pt>
                <c:pt idx="5">
                  <c:v>8.0000799999999997E-3</c:v>
                </c:pt>
                <c:pt idx="6">
                  <c:v>0.04</c:v>
                </c:pt>
                <c:pt idx="7">
                  <c:v>4.8000000000000001E-2</c:v>
                </c:pt>
                <c:pt idx="8">
                  <c:v>1.60001E-2</c:v>
                </c:pt>
                <c:pt idx="9">
                  <c:v>2.4E-2</c:v>
                </c:pt>
                <c:pt idx="10">
                  <c:v>8.7999800000000003E-2</c:v>
                </c:pt>
                <c:pt idx="11">
                  <c:v>6.3999899999999998E-2</c:v>
                </c:pt>
                <c:pt idx="12">
                  <c:v>3.2000000000000001E-2</c:v>
                </c:pt>
                <c:pt idx="13">
                  <c:v>0.04</c:v>
                </c:pt>
                <c:pt idx="15">
                  <c:v>8.0000799999999997E-3</c:v>
                </c:pt>
                <c:pt idx="16" formatCode="0.00E+00">
                  <c:v>9.9999700000000006E-8</c:v>
                </c:pt>
                <c:pt idx="17">
                  <c:v>8.0000799999999997E-3</c:v>
                </c:pt>
                <c:pt idx="18">
                  <c:v>2.4E-2</c:v>
                </c:pt>
                <c:pt idx="19" formatCode="0.00E+00">
                  <c:v>9.9999700000000006E-8</c:v>
                </c:pt>
                <c:pt idx="20">
                  <c:v>2.4E-2</c:v>
                </c:pt>
                <c:pt idx="21">
                  <c:v>3.2000000000000001E-2</c:v>
                </c:pt>
                <c:pt idx="22">
                  <c:v>1.60001E-2</c:v>
                </c:pt>
                <c:pt idx="23">
                  <c:v>3.2000000000000001E-2</c:v>
                </c:pt>
                <c:pt idx="24">
                  <c:v>0.04</c:v>
                </c:pt>
              </c:numCache>
            </c:numRef>
          </c:bubbleSize>
          <c:bubble3D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5"/>
        <c:showNegBubbles val="0"/>
        <c:axId val="234624640"/>
        <c:axId val="234625216"/>
      </c:bubbleChart>
      <c:valAx>
        <c:axId val="234624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7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40532700792109"/>
              <c:y val="0.878789836585125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4625216"/>
        <c:crosses val="autoZero"/>
        <c:crossBetween val="midCat"/>
      </c:valAx>
      <c:valAx>
        <c:axId val="23462521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E+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462464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55" r="0.7500000000000045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43870700372982"/>
          <c:y val="0.11427727565182759"/>
          <c:w val="0.83195833678684905"/>
          <c:h val="0.76923252028819422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ysDot"/>
            </a:ln>
          </c:spPr>
          <c:marker>
            <c:symbol val="circle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Comp_Disp!Bin</c:f>
              <c:numCache>
                <c:formatCode>General</c:formatCode>
                <c:ptCount val="25"/>
                <c:pt idx="0" formatCode="0.00E+00">
                  <c:v>44</c:v>
                </c:pt>
                <c:pt idx="1">
                  <c:v>46</c:v>
                </c:pt>
                <c:pt idx="2">
                  <c:v>48</c:v>
                </c:pt>
                <c:pt idx="3">
                  <c:v>50</c:v>
                </c:pt>
                <c:pt idx="4">
                  <c:v>52</c:v>
                </c:pt>
                <c:pt idx="5">
                  <c:v>54</c:v>
                </c:pt>
                <c:pt idx="6">
                  <c:v>56</c:v>
                </c:pt>
                <c:pt idx="7">
                  <c:v>58</c:v>
                </c:pt>
                <c:pt idx="8">
                  <c:v>60</c:v>
                </c:pt>
                <c:pt idx="9">
                  <c:v>62</c:v>
                </c:pt>
                <c:pt idx="10">
                  <c:v>64</c:v>
                </c:pt>
                <c:pt idx="11">
                  <c:v>68</c:v>
                </c:pt>
                <c:pt idx="12">
                  <c:v>72</c:v>
                </c:pt>
                <c:pt idx="13">
                  <c:v>76</c:v>
                </c:pt>
                <c:pt idx="15">
                  <c:v>42</c:v>
                </c:pt>
                <c:pt idx="16">
                  <c:v>44</c:v>
                </c:pt>
                <c:pt idx="17">
                  <c:v>46</c:v>
                </c:pt>
                <c:pt idx="18">
                  <c:v>48</c:v>
                </c:pt>
                <c:pt idx="19">
                  <c:v>50</c:v>
                </c:pt>
                <c:pt idx="20">
                  <c:v>52</c:v>
                </c:pt>
                <c:pt idx="21">
                  <c:v>54</c:v>
                </c:pt>
                <c:pt idx="22">
                  <c:v>56</c:v>
                </c:pt>
                <c:pt idx="23">
                  <c:v>58</c:v>
                </c:pt>
                <c:pt idx="24">
                  <c:v>60</c:v>
                </c:pt>
              </c:numCache>
            </c:numRef>
          </c:xVal>
          <c:yVal>
            <c:numRef>
              <c:f>Comp_Disp!Obs</c:f>
              <c:numCache>
                <c:formatCode>General</c:formatCode>
                <c:ptCount val="25"/>
                <c:pt idx="0" formatCode="0.00E+00">
                  <c:v>3.2000000000000001E-2</c:v>
                </c:pt>
                <c:pt idx="1">
                  <c:v>8.0000799999999997E-3</c:v>
                </c:pt>
                <c:pt idx="2">
                  <c:v>8.0000799999999997E-3</c:v>
                </c:pt>
                <c:pt idx="3" formatCode="0.00E+00">
                  <c:v>1.60001E-2</c:v>
                </c:pt>
                <c:pt idx="4">
                  <c:v>3.2000000000000001E-2</c:v>
                </c:pt>
                <c:pt idx="5">
                  <c:v>8.0000799999999997E-3</c:v>
                </c:pt>
                <c:pt idx="6">
                  <c:v>0.04</c:v>
                </c:pt>
                <c:pt idx="7">
                  <c:v>4.8000000000000001E-2</c:v>
                </c:pt>
                <c:pt idx="8">
                  <c:v>1.60001E-2</c:v>
                </c:pt>
                <c:pt idx="9">
                  <c:v>2.4E-2</c:v>
                </c:pt>
                <c:pt idx="10">
                  <c:v>8.7999800000000003E-2</c:v>
                </c:pt>
                <c:pt idx="11">
                  <c:v>6.3999899999999998E-2</c:v>
                </c:pt>
                <c:pt idx="12">
                  <c:v>3.2000000000000001E-2</c:v>
                </c:pt>
                <c:pt idx="13">
                  <c:v>0.04</c:v>
                </c:pt>
                <c:pt idx="15">
                  <c:v>8.0000799999999997E-3</c:v>
                </c:pt>
                <c:pt idx="16" formatCode="0.00E+00">
                  <c:v>9.9999700000000006E-8</c:v>
                </c:pt>
                <c:pt idx="17">
                  <c:v>8.0000799999999997E-3</c:v>
                </c:pt>
                <c:pt idx="18">
                  <c:v>2.4E-2</c:v>
                </c:pt>
                <c:pt idx="19" formatCode="0.00E+00">
                  <c:v>9.9999700000000006E-8</c:v>
                </c:pt>
                <c:pt idx="20">
                  <c:v>2.4E-2</c:v>
                </c:pt>
                <c:pt idx="21">
                  <c:v>3.2000000000000001E-2</c:v>
                </c:pt>
                <c:pt idx="22">
                  <c:v>1.60001E-2</c:v>
                </c:pt>
                <c:pt idx="23">
                  <c:v>3.2000000000000001E-2</c:v>
                </c:pt>
                <c:pt idx="24">
                  <c:v>0.04</c:v>
                </c:pt>
              </c:numCache>
            </c:numRef>
          </c:yVal>
          <c:smooth val="0"/>
        </c:ser>
        <c:ser>
          <c:idx val="1"/>
          <c:order val="1"/>
          <c:spPr>
            <a:ln w="19050">
              <a:solidFill>
                <a:sysClr val="windowText" lastClr="000000"/>
              </a:solidFill>
            </a:ln>
          </c:spPr>
          <c:marker>
            <c:symbol val="x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Comp_Disp!Bin</c:f>
              <c:numCache>
                <c:formatCode>General</c:formatCode>
                <c:ptCount val="25"/>
                <c:pt idx="0" formatCode="0.00E+00">
                  <c:v>44</c:v>
                </c:pt>
                <c:pt idx="1">
                  <c:v>46</c:v>
                </c:pt>
                <c:pt idx="2">
                  <c:v>48</c:v>
                </c:pt>
                <c:pt idx="3">
                  <c:v>50</c:v>
                </c:pt>
                <c:pt idx="4">
                  <c:v>52</c:v>
                </c:pt>
                <c:pt idx="5">
                  <c:v>54</c:v>
                </c:pt>
                <c:pt idx="6">
                  <c:v>56</c:v>
                </c:pt>
                <c:pt idx="7">
                  <c:v>58</c:v>
                </c:pt>
                <c:pt idx="8">
                  <c:v>60</c:v>
                </c:pt>
                <c:pt idx="9">
                  <c:v>62</c:v>
                </c:pt>
                <c:pt idx="10">
                  <c:v>64</c:v>
                </c:pt>
                <c:pt idx="11">
                  <c:v>68</c:v>
                </c:pt>
                <c:pt idx="12">
                  <c:v>72</c:v>
                </c:pt>
                <c:pt idx="13">
                  <c:v>76</c:v>
                </c:pt>
                <c:pt idx="15">
                  <c:v>42</c:v>
                </c:pt>
                <c:pt idx="16">
                  <c:v>44</c:v>
                </c:pt>
                <c:pt idx="17">
                  <c:v>46</c:v>
                </c:pt>
                <c:pt idx="18">
                  <c:v>48</c:v>
                </c:pt>
                <c:pt idx="19">
                  <c:v>50</c:v>
                </c:pt>
                <c:pt idx="20">
                  <c:v>52</c:v>
                </c:pt>
                <c:pt idx="21">
                  <c:v>54</c:v>
                </c:pt>
                <c:pt idx="22">
                  <c:v>56</c:v>
                </c:pt>
                <c:pt idx="23">
                  <c:v>58</c:v>
                </c:pt>
                <c:pt idx="24">
                  <c:v>60</c:v>
                </c:pt>
              </c:numCache>
            </c:numRef>
          </c:xVal>
          <c:yVal>
            <c:numRef>
              <c:f>Comp_Disp!Exp</c:f>
              <c:numCache>
                <c:formatCode>0.00E+00</c:formatCode>
                <c:ptCount val="25"/>
                <c:pt idx="0">
                  <c:v>2.5721899999999999E-2</c:v>
                </c:pt>
                <c:pt idx="1">
                  <c:v>9.0595999999999993E-3</c:v>
                </c:pt>
                <c:pt idx="2">
                  <c:v>1.15873E-2</c:v>
                </c:pt>
                <c:pt idx="3" formatCode="General">
                  <c:v>1.4596700000000001E-2</c:v>
                </c:pt>
                <c:pt idx="4">
                  <c:v>1.80786E-2</c:v>
                </c:pt>
                <c:pt idx="5">
                  <c:v>2.198E-2</c:v>
                </c:pt>
                <c:pt idx="6">
                  <c:v>2.6200000000000001E-2</c:v>
                </c:pt>
                <c:pt idx="7">
                  <c:v>3.0573300000000001E-2</c:v>
                </c:pt>
                <c:pt idx="8">
                  <c:v>3.4832399999999999E-2</c:v>
                </c:pt>
                <c:pt idx="9">
                  <c:v>3.8568999999999999E-2</c:v>
                </c:pt>
                <c:pt idx="10">
                  <c:v>8.3499299999999999E-2</c:v>
                </c:pt>
                <c:pt idx="11">
                  <c:v>7.9046199999999997E-2</c:v>
                </c:pt>
                <c:pt idx="12">
                  <c:v>5.89586E-2</c:v>
                </c:pt>
                <c:pt idx="13">
                  <c:v>5.2298299999999999E-2</c:v>
                </c:pt>
                <c:pt idx="15">
                  <c:v>1.86897E-2</c:v>
                </c:pt>
                <c:pt idx="16">
                  <c:v>7.1161599999999998E-3</c:v>
                </c:pt>
                <c:pt idx="17">
                  <c:v>9.3232300000000001E-3</c:v>
                </c:pt>
                <c:pt idx="18">
                  <c:v>1.20789E-2</c:v>
                </c:pt>
                <c:pt idx="19">
                  <c:v>1.5430599999999999E-2</c:v>
                </c:pt>
                <c:pt idx="20">
                  <c:v>1.93879E-2</c:v>
                </c:pt>
                <c:pt idx="21">
                  <c:v>2.3881200000000002E-2</c:v>
                </c:pt>
                <c:pt idx="22">
                  <c:v>2.8722500000000002E-2</c:v>
                </c:pt>
                <c:pt idx="23">
                  <c:v>3.35728E-2</c:v>
                </c:pt>
                <c:pt idx="24">
                  <c:v>3.79303E-2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937792"/>
        <c:axId val="235938368"/>
      </c:scatterChart>
      <c:valAx>
        <c:axId val="235937792"/>
        <c:scaling>
          <c:orientation val="minMax"/>
        </c:scaling>
        <c:delete val="0"/>
        <c:axPos val="b"/>
        <c:numFmt formatCode="0.00E+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5938368"/>
        <c:crosses val="autoZero"/>
        <c:crossBetween val="midCat"/>
      </c:valAx>
      <c:valAx>
        <c:axId val="235938368"/>
        <c:scaling>
          <c:orientation val="minMax"/>
          <c:min val="0"/>
        </c:scaling>
        <c:delete val="0"/>
        <c:axPos val="l"/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593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77" r="0.75000000000000477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43870700372982"/>
          <c:y val="0.11427727565182759"/>
          <c:w val="0.83195833678684905"/>
          <c:h val="0.76923252028819444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ysDot"/>
            </a:ln>
          </c:spPr>
          <c:marker>
            <c:symbol val="circle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Comp_Disp!Bin</c:f>
              <c:numCache>
                <c:formatCode>General</c:formatCode>
                <c:ptCount val="25"/>
                <c:pt idx="0" formatCode="0.00E+00">
                  <c:v>44</c:v>
                </c:pt>
                <c:pt idx="1">
                  <c:v>46</c:v>
                </c:pt>
                <c:pt idx="2">
                  <c:v>48</c:v>
                </c:pt>
                <c:pt idx="3">
                  <c:v>50</c:v>
                </c:pt>
                <c:pt idx="4">
                  <c:v>52</c:v>
                </c:pt>
                <c:pt idx="5">
                  <c:v>54</c:v>
                </c:pt>
                <c:pt idx="6">
                  <c:v>56</c:v>
                </c:pt>
                <c:pt idx="7">
                  <c:v>58</c:v>
                </c:pt>
                <c:pt idx="8">
                  <c:v>60</c:v>
                </c:pt>
                <c:pt idx="9">
                  <c:v>62</c:v>
                </c:pt>
                <c:pt idx="10">
                  <c:v>64</c:v>
                </c:pt>
                <c:pt idx="11">
                  <c:v>68</c:v>
                </c:pt>
                <c:pt idx="12">
                  <c:v>72</c:v>
                </c:pt>
                <c:pt idx="13">
                  <c:v>76</c:v>
                </c:pt>
                <c:pt idx="15">
                  <c:v>42</c:v>
                </c:pt>
                <c:pt idx="16">
                  <c:v>44</c:v>
                </c:pt>
                <c:pt idx="17">
                  <c:v>46</c:v>
                </c:pt>
                <c:pt idx="18">
                  <c:v>48</c:v>
                </c:pt>
                <c:pt idx="19">
                  <c:v>50</c:v>
                </c:pt>
                <c:pt idx="20">
                  <c:v>52</c:v>
                </c:pt>
                <c:pt idx="21">
                  <c:v>54</c:v>
                </c:pt>
                <c:pt idx="22">
                  <c:v>56</c:v>
                </c:pt>
                <c:pt idx="23">
                  <c:v>58</c:v>
                </c:pt>
                <c:pt idx="24">
                  <c:v>60</c:v>
                </c:pt>
              </c:numCache>
            </c:numRef>
          </c:xVal>
          <c:yVal>
            <c:numRef>
              <c:f>Comp_Disp!Cum_obs</c:f>
              <c:numCache>
                <c:formatCode>General</c:formatCode>
                <c:ptCount val="25"/>
                <c:pt idx="0" formatCode="0.00E+00">
                  <c:v>3.2000000000000001E-2</c:v>
                </c:pt>
                <c:pt idx="1">
                  <c:v>4.0000099999999997E-2</c:v>
                </c:pt>
                <c:pt idx="2">
                  <c:v>4.80002E-2</c:v>
                </c:pt>
                <c:pt idx="3">
                  <c:v>6.4000199999999993E-2</c:v>
                </c:pt>
                <c:pt idx="4">
                  <c:v>9.6000199999999994E-2</c:v>
                </c:pt>
                <c:pt idx="5">
                  <c:v>0.104</c:v>
                </c:pt>
                <c:pt idx="6">
                  <c:v>0.14399999999999999</c:v>
                </c:pt>
                <c:pt idx="7">
                  <c:v>0.192</c:v>
                </c:pt>
                <c:pt idx="8">
                  <c:v>0.20799999999999999</c:v>
                </c:pt>
                <c:pt idx="9">
                  <c:v>0.23200000000000001</c:v>
                </c:pt>
                <c:pt idx="10">
                  <c:v>0.32</c:v>
                </c:pt>
                <c:pt idx="11">
                  <c:v>0.38400000000000001</c:v>
                </c:pt>
                <c:pt idx="12">
                  <c:v>0.41599999999999998</c:v>
                </c:pt>
                <c:pt idx="13">
                  <c:v>0.45600000000000002</c:v>
                </c:pt>
                <c:pt idx="15">
                  <c:v>0.46400000000000002</c:v>
                </c:pt>
                <c:pt idx="16">
                  <c:v>0.46400000000000002</c:v>
                </c:pt>
                <c:pt idx="17">
                  <c:v>0.47199999999999998</c:v>
                </c:pt>
                <c:pt idx="18">
                  <c:v>0.496</c:v>
                </c:pt>
                <c:pt idx="19">
                  <c:v>0.496</c:v>
                </c:pt>
                <c:pt idx="20">
                  <c:v>0.52</c:v>
                </c:pt>
                <c:pt idx="21">
                  <c:v>0.55200000000000005</c:v>
                </c:pt>
                <c:pt idx="22">
                  <c:v>0.56800099999999998</c:v>
                </c:pt>
                <c:pt idx="23">
                  <c:v>0.60000100000000001</c:v>
                </c:pt>
                <c:pt idx="24">
                  <c:v>0.64000100000000004</c:v>
                </c:pt>
              </c:numCache>
            </c:numRef>
          </c:yVal>
          <c:smooth val="0"/>
        </c:ser>
        <c:ser>
          <c:idx val="1"/>
          <c:order val="1"/>
          <c:spPr>
            <a:ln w="19050">
              <a:solidFill>
                <a:sysClr val="windowText" lastClr="000000"/>
              </a:solidFill>
            </a:ln>
          </c:spPr>
          <c:marker>
            <c:symbol val="x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Comp_Disp!Bin</c:f>
              <c:numCache>
                <c:formatCode>General</c:formatCode>
                <c:ptCount val="25"/>
                <c:pt idx="0" formatCode="0.00E+00">
                  <c:v>44</c:v>
                </c:pt>
                <c:pt idx="1">
                  <c:v>46</c:v>
                </c:pt>
                <c:pt idx="2">
                  <c:v>48</c:v>
                </c:pt>
                <c:pt idx="3">
                  <c:v>50</c:v>
                </c:pt>
                <c:pt idx="4">
                  <c:v>52</c:v>
                </c:pt>
                <c:pt idx="5">
                  <c:v>54</c:v>
                </c:pt>
                <c:pt idx="6">
                  <c:v>56</c:v>
                </c:pt>
                <c:pt idx="7">
                  <c:v>58</c:v>
                </c:pt>
                <c:pt idx="8">
                  <c:v>60</c:v>
                </c:pt>
                <c:pt idx="9">
                  <c:v>62</c:v>
                </c:pt>
                <c:pt idx="10">
                  <c:v>64</c:v>
                </c:pt>
                <c:pt idx="11">
                  <c:v>68</c:v>
                </c:pt>
                <c:pt idx="12">
                  <c:v>72</c:v>
                </c:pt>
                <c:pt idx="13">
                  <c:v>76</c:v>
                </c:pt>
                <c:pt idx="15">
                  <c:v>42</c:v>
                </c:pt>
                <c:pt idx="16">
                  <c:v>44</c:v>
                </c:pt>
                <c:pt idx="17">
                  <c:v>46</c:v>
                </c:pt>
                <c:pt idx="18">
                  <c:v>48</c:v>
                </c:pt>
                <c:pt idx="19">
                  <c:v>50</c:v>
                </c:pt>
                <c:pt idx="20">
                  <c:v>52</c:v>
                </c:pt>
                <c:pt idx="21">
                  <c:v>54</c:v>
                </c:pt>
                <c:pt idx="22">
                  <c:v>56</c:v>
                </c:pt>
                <c:pt idx="23">
                  <c:v>58</c:v>
                </c:pt>
                <c:pt idx="24">
                  <c:v>60</c:v>
                </c:pt>
              </c:numCache>
            </c:numRef>
          </c:xVal>
          <c:yVal>
            <c:numRef>
              <c:f>Comp_Disp!Cum_exp</c:f>
              <c:numCache>
                <c:formatCode>0.00E+00</c:formatCode>
                <c:ptCount val="25"/>
                <c:pt idx="0">
                  <c:v>2.5721899999999999E-2</c:v>
                </c:pt>
                <c:pt idx="1">
                  <c:v>3.47815E-2</c:v>
                </c:pt>
                <c:pt idx="2" formatCode="General">
                  <c:v>4.6368800000000002E-2</c:v>
                </c:pt>
                <c:pt idx="3" formatCode="General">
                  <c:v>6.0965499999999999E-2</c:v>
                </c:pt>
                <c:pt idx="4" formatCode="General">
                  <c:v>7.9044100000000006E-2</c:v>
                </c:pt>
                <c:pt idx="5" formatCode="General">
                  <c:v>0.101024</c:v>
                </c:pt>
                <c:pt idx="6" formatCode="General">
                  <c:v>0.127224</c:v>
                </c:pt>
                <c:pt idx="7" formatCode="General">
                  <c:v>0.15779699999999999</c:v>
                </c:pt>
                <c:pt idx="8" formatCode="General">
                  <c:v>0.19263</c:v>
                </c:pt>
                <c:pt idx="9" formatCode="General">
                  <c:v>0.23119899999999999</c:v>
                </c:pt>
                <c:pt idx="10" formatCode="General">
                  <c:v>0.31469799999999998</c:v>
                </c:pt>
                <c:pt idx="11" formatCode="General">
                  <c:v>0.39374399999999998</c:v>
                </c:pt>
                <c:pt idx="12" formatCode="General">
                  <c:v>0.45270300000000002</c:v>
                </c:pt>
                <c:pt idx="13" formatCode="General">
                  <c:v>0.50500100000000003</c:v>
                </c:pt>
                <c:pt idx="15" formatCode="General">
                  <c:v>0.52369100000000002</c:v>
                </c:pt>
                <c:pt idx="16" formatCode="General">
                  <c:v>0.53080700000000003</c:v>
                </c:pt>
                <c:pt idx="17" formatCode="General">
                  <c:v>0.54013</c:v>
                </c:pt>
                <c:pt idx="18" formatCode="General">
                  <c:v>0.55220899999999995</c:v>
                </c:pt>
                <c:pt idx="19" formatCode="General">
                  <c:v>0.56764000000000003</c:v>
                </c:pt>
                <c:pt idx="20" formatCode="General">
                  <c:v>0.58702799999999999</c:v>
                </c:pt>
                <c:pt idx="21" formatCode="General">
                  <c:v>0.61090900000000004</c:v>
                </c:pt>
                <c:pt idx="22" formatCode="General">
                  <c:v>0.63963099999999995</c:v>
                </c:pt>
                <c:pt idx="23" formatCode="General">
                  <c:v>0.67320400000000002</c:v>
                </c:pt>
                <c:pt idx="24" formatCode="General">
                  <c:v>0.71113499999999996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940096"/>
        <c:axId val="235940672"/>
      </c:scatterChart>
      <c:valAx>
        <c:axId val="235940096"/>
        <c:scaling>
          <c:orientation val="minMax"/>
        </c:scaling>
        <c:delete val="0"/>
        <c:axPos val="b"/>
        <c:numFmt formatCode="0.00E+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5940672"/>
        <c:crosses val="autoZero"/>
        <c:crossBetween val="midCat"/>
      </c:valAx>
      <c:valAx>
        <c:axId val="235940672"/>
        <c:scaling>
          <c:orientation val="minMax"/>
          <c:min val="0"/>
        </c:scaling>
        <c:delete val="0"/>
        <c:axPos val="l"/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5940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98824368141288"/>
          <c:y val="4.745762711864477E-2"/>
          <c:w val="0.75887628778855465"/>
          <c:h val="0.82711864406779667"/>
        </c:manualLayout>
      </c:layout>
      <c:scatterChart>
        <c:scatterStyle val="lineMarker"/>
        <c:varyColors val="0"/>
        <c:ser>
          <c:idx val="4"/>
          <c:order val="0"/>
          <c:tx>
            <c:strRef>
              <c:f>BIO!$M$37</c:f>
              <c:strCache>
                <c:ptCount val="1"/>
                <c:pt idx="0">
                  <c:v>Len_Beg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7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BIO!Age_Beg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BIO!Len_Beg</c:f>
              <c:numCache>
                <c:formatCode>General</c:formatCode>
                <c:ptCount val="3"/>
                <c:pt idx="0">
                  <c:v>21.655200000000001</c:v>
                </c:pt>
                <c:pt idx="1">
                  <c:v>28.678699999999999</c:v>
                </c:pt>
                <c:pt idx="2">
                  <c:v>34.740200000000002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BIO!$N$37</c:f>
              <c:strCache>
                <c:ptCount val="1"/>
                <c:pt idx="0">
                  <c:v>Len_Mid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BIO!Age_Mid</c:f>
              <c:numCache>
                <c:formatCode>General</c:formatCode>
                <c:ptCount val="3"/>
                <c:pt idx="0">
                  <c:v>0.5</c:v>
                </c:pt>
                <c:pt idx="1">
                  <c:v>1.5</c:v>
                </c:pt>
                <c:pt idx="2">
                  <c:v>2.5</c:v>
                </c:pt>
              </c:numCache>
            </c:numRef>
          </c:xVal>
          <c:yVal>
            <c:numRef>
              <c:f>BIO!Len_Mid</c:f>
              <c:numCache>
                <c:formatCode>General</c:formatCode>
                <c:ptCount val="3"/>
                <c:pt idx="0">
                  <c:v>25.296199999999999</c:v>
                </c:pt>
                <c:pt idx="1">
                  <c:v>31.821000000000002</c:v>
                </c:pt>
                <c:pt idx="2">
                  <c:v>37.452199999999998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942400"/>
        <c:axId val="235942976"/>
      </c:scatterChart>
      <c:scatterChart>
        <c:scatterStyle val="lineMarker"/>
        <c:varyColors val="0"/>
        <c:ser>
          <c:idx val="3"/>
          <c:order val="2"/>
          <c:tx>
            <c:strRef>
              <c:f>BIO!$O$37</c:f>
              <c:strCache>
                <c:ptCount val="1"/>
                <c:pt idx="0">
                  <c:v>SD_Beg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BIO!Age_Beg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BIO!SD_Beg</c:f>
              <c:numCache>
                <c:formatCode>General</c:formatCode>
                <c:ptCount val="3"/>
                <c:pt idx="0">
                  <c:v>2.1655199999999999</c:v>
                </c:pt>
                <c:pt idx="1">
                  <c:v>2.8678699999999999</c:v>
                </c:pt>
                <c:pt idx="2">
                  <c:v>3.4740199999999999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BIO!$P$37</c:f>
              <c:strCache>
                <c:ptCount val="1"/>
                <c:pt idx="0">
                  <c:v>SD_Mid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BIO!Age_Mid</c:f>
              <c:numCache>
                <c:formatCode>General</c:formatCode>
                <c:ptCount val="3"/>
                <c:pt idx="0">
                  <c:v>0.5</c:v>
                </c:pt>
                <c:pt idx="1">
                  <c:v>1.5</c:v>
                </c:pt>
                <c:pt idx="2">
                  <c:v>2.5</c:v>
                </c:pt>
              </c:numCache>
            </c:numRef>
          </c:xVal>
          <c:yVal>
            <c:numRef>
              <c:f>BIO!SD_Mid</c:f>
              <c:numCache>
                <c:formatCode>General</c:formatCode>
                <c:ptCount val="3"/>
                <c:pt idx="0">
                  <c:v>2.52962</c:v>
                </c:pt>
                <c:pt idx="1">
                  <c:v>3.1821000000000002</c:v>
                </c:pt>
                <c:pt idx="2">
                  <c:v>3.7452200000000002</c:v>
                </c:pt>
              </c:numCache>
            </c:numRef>
          </c:yVal>
          <c:smooth val="0"/>
        </c:ser>
        <c:ser>
          <c:idx val="2"/>
          <c:order val="4"/>
          <c:tx>
            <c:strRef>
              <c:f>BIO!$B$37</c:f>
              <c:strCache>
                <c:ptCount val="1"/>
                <c:pt idx="0">
                  <c:v>ACV_Mid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noFill/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BIO!Age_Mid</c:f>
              <c:numCache>
                <c:formatCode>General</c:formatCode>
                <c:ptCount val="3"/>
                <c:pt idx="0">
                  <c:v>0.5</c:v>
                </c:pt>
                <c:pt idx="1">
                  <c:v>1.5</c:v>
                </c:pt>
                <c:pt idx="2">
                  <c:v>2.5</c:v>
                </c:pt>
              </c:numCache>
            </c:numRef>
          </c:xVal>
          <c:yVal>
            <c:numRef>
              <c:f>BIO!ACV_Mid</c:f>
              <c:numCache>
                <c:formatCode>General</c:formatCode>
                <c:ptCount val="3"/>
                <c:pt idx="0">
                  <c:v>10</c:v>
                </c:pt>
                <c:pt idx="1">
                  <c:v>10</c:v>
                </c:pt>
                <c:pt idx="2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943552"/>
        <c:axId val="235944128"/>
      </c:scatterChart>
      <c:valAx>
        <c:axId val="235942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</a:t>
                </a:r>
              </a:p>
            </c:rich>
          </c:tx>
          <c:layout>
            <c:manualLayout>
              <c:xMode val="edge"/>
              <c:yMode val="edge"/>
              <c:x val="0.46301806209135132"/>
              <c:y val="0.935593220338983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5942976"/>
        <c:crosses val="autoZero"/>
        <c:crossBetween val="midCat"/>
      </c:valAx>
      <c:valAx>
        <c:axId val="2359429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LENGTH</a:t>
                </a:r>
              </a:p>
            </c:rich>
          </c:tx>
          <c:layout>
            <c:manualLayout>
              <c:xMode val="edge"/>
              <c:yMode val="edge"/>
              <c:x val="2.2189349112426336E-2"/>
              <c:y val="0.3779661016949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5942400"/>
        <c:crosses val="autoZero"/>
        <c:crossBetween val="midCat"/>
      </c:valAx>
      <c:valAx>
        <c:axId val="2359435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235944128"/>
        <c:crosses val="autoZero"/>
        <c:crossBetween val="midCat"/>
      </c:valAx>
      <c:valAx>
        <c:axId val="23594412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Std &amp; CV%</a:t>
                </a:r>
              </a:p>
            </c:rich>
          </c:tx>
          <c:layout>
            <c:manualLayout>
              <c:xMode val="edge"/>
              <c:yMode val="edge"/>
              <c:x val="0.95710121294010586"/>
              <c:y val="0.3983050847457663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5943552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1153892745655323"/>
          <c:y val="0.65762711864407852"/>
          <c:w val="0.11686406063147436"/>
          <c:h val="0.1881355932203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33" r="0.75000000000000433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Len_Sel_D!$E$3</c:f>
              <c:strCache>
                <c:ptCount val="1"/>
                <c:pt idx="0">
                  <c:v>1978_1_Lsel</c:v>
                </c:pt>
              </c:strCache>
            </c:strRef>
          </c:tx>
          <c:marker>
            <c:symbol val="none"/>
          </c:marker>
          <c:xVal>
            <c:numRef>
              <c:f>Len_Sel_D!$F$2:$BZ$2</c:f>
              <c:numCache>
                <c:formatCode>0.00E+00</c:formatCode>
                <c:ptCount val="73"/>
                <c:pt idx="0">
                  <c:v>1.5</c:v>
                </c:pt>
                <c:pt idx="1">
                  <c:v>2.5</c:v>
                </c:pt>
                <c:pt idx="2">
                  <c:v>3.5</c:v>
                </c:pt>
                <c:pt idx="3">
                  <c:v>4.5</c:v>
                </c:pt>
                <c:pt idx="4">
                  <c:v>5.5</c:v>
                </c:pt>
                <c:pt idx="5">
                  <c:v>6.5</c:v>
                </c:pt>
                <c:pt idx="6">
                  <c:v>7.5</c:v>
                </c:pt>
                <c:pt idx="7">
                  <c:v>8.5</c:v>
                </c:pt>
                <c:pt idx="8">
                  <c:v>9.5</c:v>
                </c:pt>
                <c:pt idx="9" formatCode="General">
                  <c:v>10.5</c:v>
                </c:pt>
                <c:pt idx="10" formatCode="General">
                  <c:v>11.5</c:v>
                </c:pt>
                <c:pt idx="11" formatCode="General">
                  <c:v>12.5</c:v>
                </c:pt>
                <c:pt idx="12" formatCode="General">
                  <c:v>13.5</c:v>
                </c:pt>
                <c:pt idx="13" formatCode="General">
                  <c:v>14.5</c:v>
                </c:pt>
                <c:pt idx="14" formatCode="General">
                  <c:v>15.5</c:v>
                </c:pt>
                <c:pt idx="15" formatCode="General">
                  <c:v>16.5</c:v>
                </c:pt>
                <c:pt idx="16" formatCode="General">
                  <c:v>17.5</c:v>
                </c:pt>
                <c:pt idx="17" formatCode="General">
                  <c:v>18.5</c:v>
                </c:pt>
                <c:pt idx="18" formatCode="General">
                  <c:v>19.5</c:v>
                </c:pt>
                <c:pt idx="19" formatCode="General">
                  <c:v>20.5</c:v>
                </c:pt>
                <c:pt idx="20" formatCode="General">
                  <c:v>21.5</c:v>
                </c:pt>
                <c:pt idx="21" formatCode="General">
                  <c:v>22.5</c:v>
                </c:pt>
                <c:pt idx="22" formatCode="General">
                  <c:v>23.5</c:v>
                </c:pt>
                <c:pt idx="23" formatCode="General">
                  <c:v>24.5</c:v>
                </c:pt>
                <c:pt idx="24" formatCode="General">
                  <c:v>25.5</c:v>
                </c:pt>
                <c:pt idx="25" formatCode="General">
                  <c:v>26.5</c:v>
                </c:pt>
                <c:pt idx="26" formatCode="General">
                  <c:v>27.5</c:v>
                </c:pt>
                <c:pt idx="27" formatCode="General">
                  <c:v>28.5</c:v>
                </c:pt>
                <c:pt idx="28" formatCode="General">
                  <c:v>29.5</c:v>
                </c:pt>
                <c:pt idx="29" formatCode="General">
                  <c:v>30.5</c:v>
                </c:pt>
                <c:pt idx="30" formatCode="General">
                  <c:v>31.5</c:v>
                </c:pt>
                <c:pt idx="31" formatCode="General">
                  <c:v>32.5</c:v>
                </c:pt>
                <c:pt idx="32" formatCode="General">
                  <c:v>33.5</c:v>
                </c:pt>
                <c:pt idx="33" formatCode="General">
                  <c:v>34.5</c:v>
                </c:pt>
                <c:pt idx="34" formatCode="General">
                  <c:v>35.5</c:v>
                </c:pt>
                <c:pt idx="35" formatCode="General">
                  <c:v>36.5</c:v>
                </c:pt>
                <c:pt idx="36" formatCode="General">
                  <c:v>37.5</c:v>
                </c:pt>
                <c:pt idx="37" formatCode="General">
                  <c:v>38.5</c:v>
                </c:pt>
                <c:pt idx="38" formatCode="General">
                  <c:v>39.5</c:v>
                </c:pt>
                <c:pt idx="39" formatCode="General">
                  <c:v>41</c:v>
                </c:pt>
                <c:pt idx="40" formatCode="General">
                  <c:v>43</c:v>
                </c:pt>
                <c:pt idx="41" formatCode="General">
                  <c:v>45</c:v>
                </c:pt>
                <c:pt idx="42" formatCode="General">
                  <c:v>47</c:v>
                </c:pt>
                <c:pt idx="43" formatCode="General">
                  <c:v>49</c:v>
                </c:pt>
                <c:pt idx="44" formatCode="General">
                  <c:v>51</c:v>
                </c:pt>
                <c:pt idx="45" formatCode="General">
                  <c:v>53</c:v>
                </c:pt>
                <c:pt idx="46" formatCode="General">
                  <c:v>55</c:v>
                </c:pt>
                <c:pt idx="47" formatCode="General">
                  <c:v>57</c:v>
                </c:pt>
                <c:pt idx="48" formatCode="General">
                  <c:v>59</c:v>
                </c:pt>
                <c:pt idx="49" formatCode="General">
                  <c:v>61</c:v>
                </c:pt>
                <c:pt idx="50" formatCode="General">
                  <c:v>63</c:v>
                </c:pt>
                <c:pt idx="51" formatCode="General">
                  <c:v>65</c:v>
                </c:pt>
                <c:pt idx="52" formatCode="General">
                  <c:v>67</c:v>
                </c:pt>
                <c:pt idx="53" formatCode="General">
                  <c:v>69</c:v>
                </c:pt>
                <c:pt idx="54" formatCode="General">
                  <c:v>71</c:v>
                </c:pt>
                <c:pt idx="55" formatCode="General">
                  <c:v>73</c:v>
                </c:pt>
                <c:pt idx="56" formatCode="General">
                  <c:v>75</c:v>
                </c:pt>
                <c:pt idx="57" formatCode="General">
                  <c:v>77</c:v>
                </c:pt>
                <c:pt idx="58" formatCode="General">
                  <c:v>79</c:v>
                </c:pt>
                <c:pt idx="59" formatCode="General">
                  <c:v>81</c:v>
                </c:pt>
                <c:pt idx="60" formatCode="General">
                  <c:v>83</c:v>
                </c:pt>
                <c:pt idx="61" formatCode="General">
                  <c:v>85</c:v>
                </c:pt>
                <c:pt idx="62" formatCode="General">
                  <c:v>87</c:v>
                </c:pt>
                <c:pt idx="63" formatCode="General">
                  <c:v>89</c:v>
                </c:pt>
                <c:pt idx="64" formatCode="General">
                  <c:v>91</c:v>
                </c:pt>
                <c:pt idx="65" formatCode="General">
                  <c:v>93</c:v>
                </c:pt>
                <c:pt idx="66" formatCode="General">
                  <c:v>95</c:v>
                </c:pt>
                <c:pt idx="67" formatCode="General">
                  <c:v>97</c:v>
                </c:pt>
                <c:pt idx="68" formatCode="General">
                  <c:v>99</c:v>
                </c:pt>
                <c:pt idx="69" formatCode="General">
                  <c:v>105</c:v>
                </c:pt>
                <c:pt idx="70" formatCode="General">
                  <c:v>115</c:v>
                </c:pt>
                <c:pt idx="71" formatCode="General">
                  <c:v>125</c:v>
                </c:pt>
                <c:pt idx="72" formatCode="General">
                  <c:v>135</c:v>
                </c:pt>
              </c:numCache>
            </c:numRef>
          </c:xVal>
          <c:yVal>
            <c:numRef>
              <c:f>Len_Sel_D!$F$3:$BZ$3</c:f>
              <c:numCache>
                <c:formatCode>0.00E+00</c:formatCode>
                <c:ptCount val="73"/>
                <c:pt idx="0">
                  <c:v>6.1626800000000002E-8</c:v>
                </c:pt>
                <c:pt idx="1">
                  <c:v>1.7118600000000001E-7</c:v>
                </c:pt>
                <c:pt idx="2">
                  <c:v>3.3552399999999998E-7</c:v>
                </c:pt>
                <c:pt idx="3">
                  <c:v>5.5464100000000002E-7</c:v>
                </c:pt>
                <c:pt idx="4">
                  <c:v>1.1675399999999999E-3</c:v>
                </c:pt>
                <c:pt idx="5">
                  <c:v>2.9641899999999998E-3</c:v>
                </c:pt>
                <c:pt idx="6">
                  <c:v>5.6727399999999999E-3</c:v>
                </c:pt>
                <c:pt idx="7">
                  <c:v>9.6704900000000003E-3</c:v>
                </c:pt>
                <c:pt idx="8">
                  <c:v>1.5446400000000001E-2</c:v>
                </c:pt>
                <c:pt idx="9">
                  <c:v>2.3613599999999998E-2</c:v>
                </c:pt>
                <c:pt idx="10">
                  <c:v>3.4913100000000002E-2</c:v>
                </c:pt>
                <c:pt idx="11">
                  <c:v>5.0205300000000001E-2</c:v>
                </c:pt>
                <c:pt idx="12">
                  <c:v>7.04433E-2</c:v>
                </c:pt>
                <c:pt idx="13">
                  <c:v>9.6624199999999993E-2</c:v>
                </c:pt>
                <c:pt idx="14" formatCode="General">
                  <c:v>0.129717</c:v>
                </c:pt>
                <c:pt idx="15" formatCode="General">
                  <c:v>0.17056499999999999</c:v>
                </c:pt>
                <c:pt idx="16" formatCode="General">
                  <c:v>0.21976999999999999</c:v>
                </c:pt>
                <c:pt idx="17" formatCode="General">
                  <c:v>0.27756700000000001</c:v>
                </c:pt>
                <c:pt idx="18" formatCode="General">
                  <c:v>0.343698</c:v>
                </c:pt>
                <c:pt idx="19" formatCode="General">
                  <c:v>0.41730499999999998</c:v>
                </c:pt>
                <c:pt idx="20" formatCode="General">
                  <c:v>0.49686599999999997</c:v>
                </c:pt>
                <c:pt idx="21" formatCode="General">
                  <c:v>0.580179</c:v>
                </c:pt>
                <c:pt idx="22" formatCode="General">
                  <c:v>0.66441700000000004</c:v>
                </c:pt>
                <c:pt idx="23" formatCode="General">
                  <c:v>0.74626099999999995</c:v>
                </c:pt>
                <c:pt idx="24" formatCode="General">
                  <c:v>0.82209200000000004</c:v>
                </c:pt>
                <c:pt idx="25" formatCode="General">
                  <c:v>0.88825500000000002</c:v>
                </c:pt>
                <c:pt idx="26" formatCode="General">
                  <c:v>0.94133900000000004</c:v>
                </c:pt>
                <c:pt idx="27" formatCode="General">
                  <c:v>0.97847499999999998</c:v>
                </c:pt>
                <c:pt idx="28" formatCode="General">
                  <c:v>0.99758899999999995</c:v>
                </c:pt>
                <c:pt idx="29" formatCode="General">
                  <c:v>0.99999700000000002</c:v>
                </c:pt>
                <c:pt idx="30" formatCode="General">
                  <c:v>1</c:v>
                </c:pt>
                <c:pt idx="31" formatCode="General">
                  <c:v>1</c:v>
                </c:pt>
                <c:pt idx="32" formatCode="General">
                  <c:v>1</c:v>
                </c:pt>
                <c:pt idx="33" formatCode="General">
                  <c:v>1</c:v>
                </c:pt>
                <c:pt idx="34" formatCode="General">
                  <c:v>1</c:v>
                </c:pt>
                <c:pt idx="35" formatCode="General">
                  <c:v>1</c:v>
                </c:pt>
                <c:pt idx="36" formatCode="General">
                  <c:v>1</c:v>
                </c:pt>
                <c:pt idx="37" formatCode="General">
                  <c:v>1</c:v>
                </c:pt>
                <c:pt idx="38" formatCode="General">
                  <c:v>1</c:v>
                </c:pt>
                <c:pt idx="39" formatCode="General">
                  <c:v>1</c:v>
                </c:pt>
                <c:pt idx="40" formatCode="General">
                  <c:v>1</c:v>
                </c:pt>
                <c:pt idx="41" formatCode="General">
                  <c:v>1</c:v>
                </c:pt>
                <c:pt idx="42" formatCode="General">
                  <c:v>1</c:v>
                </c:pt>
                <c:pt idx="43" formatCode="General">
                  <c:v>1</c:v>
                </c:pt>
                <c:pt idx="44" formatCode="General">
                  <c:v>1</c:v>
                </c:pt>
                <c:pt idx="45" formatCode="General">
                  <c:v>0.99999700000000002</c:v>
                </c:pt>
                <c:pt idx="46" formatCode="General">
                  <c:v>0.990788</c:v>
                </c:pt>
                <c:pt idx="47" formatCode="General">
                  <c:v>0.95788499999999999</c:v>
                </c:pt>
                <c:pt idx="48" formatCode="General">
                  <c:v>0.90361599999999997</c:v>
                </c:pt>
                <c:pt idx="49" formatCode="General">
                  <c:v>0.83205399999999996</c:v>
                </c:pt>
                <c:pt idx="50" formatCode="General">
                  <c:v>0.74828499999999998</c:v>
                </c:pt>
                <c:pt idx="51" formatCode="General">
                  <c:v>0.65781599999999996</c:v>
                </c:pt>
                <c:pt idx="52" formatCode="General">
                  <c:v>0.56598300000000001</c:v>
                </c:pt>
                <c:pt idx="53" formatCode="General">
                  <c:v>0.47745300000000002</c:v>
                </c:pt>
                <c:pt idx="54" formatCode="General">
                  <c:v>0.39588000000000001</c:v>
                </c:pt>
                <c:pt idx="55" formatCode="General">
                  <c:v>0.323737</c:v>
                </c:pt>
                <c:pt idx="56" formatCode="General">
                  <c:v>0.26231700000000002</c:v>
                </c:pt>
                <c:pt idx="57" formatCode="General">
                  <c:v>0.21187300000000001</c:v>
                </c:pt>
                <c:pt idx="58" formatCode="General">
                  <c:v>0.171843</c:v>
                </c:pt>
                <c:pt idx="59" formatCode="General">
                  <c:v>0.14111399999999999</c:v>
                </c:pt>
                <c:pt idx="60" formatCode="General">
                  <c:v>0.118272</c:v>
                </c:pt>
                <c:pt idx="61" formatCode="General">
                  <c:v>0.10181900000000001</c:v>
                </c:pt>
                <c:pt idx="62" formatCode="General">
                  <c:v>9.0328000000000006E-2</c:v>
                </c:pt>
                <c:pt idx="63" formatCode="General">
                  <c:v>8.2542199999999996E-2</c:v>
                </c:pt>
                <c:pt idx="64" formatCode="General">
                  <c:v>7.7422500000000005E-2</c:v>
                </c:pt>
                <c:pt idx="65" formatCode="General">
                  <c:v>7.4153999999999998E-2</c:v>
                </c:pt>
                <c:pt idx="66" formatCode="General">
                  <c:v>7.2127499999999997E-2</c:v>
                </c:pt>
                <c:pt idx="67" formatCode="General">
                  <c:v>7.0906999999999998E-2</c:v>
                </c:pt>
                <c:pt idx="68" formatCode="General">
                  <c:v>7.01928E-2</c:v>
                </c:pt>
                <c:pt idx="69" formatCode="General">
                  <c:v>6.9441600000000006E-2</c:v>
                </c:pt>
                <c:pt idx="70" formatCode="General">
                  <c:v>6.9319599999999995E-2</c:v>
                </c:pt>
                <c:pt idx="71" formatCode="General">
                  <c:v>6.9316799999999998E-2</c:v>
                </c:pt>
                <c:pt idx="72" formatCode="General">
                  <c:v>6.9316699999999995E-2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Len_Sel_D!$E$4</c:f>
              <c:strCache>
                <c:ptCount val="1"/>
                <c:pt idx="0">
                  <c:v>1998_1_Lsel</c:v>
                </c:pt>
              </c:strCache>
            </c:strRef>
          </c:tx>
          <c:marker>
            <c:symbol val="none"/>
          </c:marker>
          <c:xVal>
            <c:numRef>
              <c:f>Len_Sel_D!$F$2:$BZ$2</c:f>
              <c:numCache>
                <c:formatCode>0.00E+00</c:formatCode>
                <c:ptCount val="73"/>
                <c:pt idx="0">
                  <c:v>1.5</c:v>
                </c:pt>
                <c:pt idx="1">
                  <c:v>2.5</c:v>
                </c:pt>
                <c:pt idx="2">
                  <c:v>3.5</c:v>
                </c:pt>
                <c:pt idx="3">
                  <c:v>4.5</c:v>
                </c:pt>
                <c:pt idx="4">
                  <c:v>5.5</c:v>
                </c:pt>
                <c:pt idx="5">
                  <c:v>6.5</c:v>
                </c:pt>
                <c:pt idx="6">
                  <c:v>7.5</c:v>
                </c:pt>
                <c:pt idx="7">
                  <c:v>8.5</c:v>
                </c:pt>
                <c:pt idx="8">
                  <c:v>9.5</c:v>
                </c:pt>
                <c:pt idx="9" formatCode="General">
                  <c:v>10.5</c:v>
                </c:pt>
                <c:pt idx="10" formatCode="General">
                  <c:v>11.5</c:v>
                </c:pt>
                <c:pt idx="11" formatCode="General">
                  <c:v>12.5</c:v>
                </c:pt>
                <c:pt idx="12" formatCode="General">
                  <c:v>13.5</c:v>
                </c:pt>
                <c:pt idx="13" formatCode="General">
                  <c:v>14.5</c:v>
                </c:pt>
                <c:pt idx="14" formatCode="General">
                  <c:v>15.5</c:v>
                </c:pt>
                <c:pt idx="15" formatCode="General">
                  <c:v>16.5</c:v>
                </c:pt>
                <c:pt idx="16" formatCode="General">
                  <c:v>17.5</c:v>
                </c:pt>
                <c:pt idx="17" formatCode="General">
                  <c:v>18.5</c:v>
                </c:pt>
                <c:pt idx="18" formatCode="General">
                  <c:v>19.5</c:v>
                </c:pt>
                <c:pt idx="19" formatCode="General">
                  <c:v>20.5</c:v>
                </c:pt>
                <c:pt idx="20" formatCode="General">
                  <c:v>21.5</c:v>
                </c:pt>
                <c:pt idx="21" formatCode="General">
                  <c:v>22.5</c:v>
                </c:pt>
                <c:pt idx="22" formatCode="General">
                  <c:v>23.5</c:v>
                </c:pt>
                <c:pt idx="23" formatCode="General">
                  <c:v>24.5</c:v>
                </c:pt>
                <c:pt idx="24" formatCode="General">
                  <c:v>25.5</c:v>
                </c:pt>
                <c:pt idx="25" formatCode="General">
                  <c:v>26.5</c:v>
                </c:pt>
                <c:pt idx="26" formatCode="General">
                  <c:v>27.5</c:v>
                </c:pt>
                <c:pt idx="27" formatCode="General">
                  <c:v>28.5</c:v>
                </c:pt>
                <c:pt idx="28" formatCode="General">
                  <c:v>29.5</c:v>
                </c:pt>
                <c:pt idx="29" formatCode="General">
                  <c:v>30.5</c:v>
                </c:pt>
                <c:pt idx="30" formatCode="General">
                  <c:v>31.5</c:v>
                </c:pt>
                <c:pt idx="31" formatCode="General">
                  <c:v>32.5</c:v>
                </c:pt>
                <c:pt idx="32" formatCode="General">
                  <c:v>33.5</c:v>
                </c:pt>
                <c:pt idx="33" formatCode="General">
                  <c:v>34.5</c:v>
                </c:pt>
                <c:pt idx="34" formatCode="General">
                  <c:v>35.5</c:v>
                </c:pt>
                <c:pt idx="35" formatCode="General">
                  <c:v>36.5</c:v>
                </c:pt>
                <c:pt idx="36" formatCode="General">
                  <c:v>37.5</c:v>
                </c:pt>
                <c:pt idx="37" formatCode="General">
                  <c:v>38.5</c:v>
                </c:pt>
                <c:pt idx="38" formatCode="General">
                  <c:v>39.5</c:v>
                </c:pt>
                <c:pt idx="39" formatCode="General">
                  <c:v>41</c:v>
                </c:pt>
                <c:pt idx="40" formatCode="General">
                  <c:v>43</c:v>
                </c:pt>
                <c:pt idx="41" formatCode="General">
                  <c:v>45</c:v>
                </c:pt>
                <c:pt idx="42" formatCode="General">
                  <c:v>47</c:v>
                </c:pt>
                <c:pt idx="43" formatCode="General">
                  <c:v>49</c:v>
                </c:pt>
                <c:pt idx="44" formatCode="General">
                  <c:v>51</c:v>
                </c:pt>
                <c:pt idx="45" formatCode="General">
                  <c:v>53</c:v>
                </c:pt>
                <c:pt idx="46" formatCode="General">
                  <c:v>55</c:v>
                </c:pt>
                <c:pt idx="47" formatCode="General">
                  <c:v>57</c:v>
                </c:pt>
                <c:pt idx="48" formatCode="General">
                  <c:v>59</c:v>
                </c:pt>
                <c:pt idx="49" formatCode="General">
                  <c:v>61</c:v>
                </c:pt>
                <c:pt idx="50" formatCode="General">
                  <c:v>63</c:v>
                </c:pt>
                <c:pt idx="51" formatCode="General">
                  <c:v>65</c:v>
                </c:pt>
                <c:pt idx="52" formatCode="General">
                  <c:v>67</c:v>
                </c:pt>
                <c:pt idx="53" formatCode="General">
                  <c:v>69</c:v>
                </c:pt>
                <c:pt idx="54" formatCode="General">
                  <c:v>71</c:v>
                </c:pt>
                <c:pt idx="55" formatCode="General">
                  <c:v>73</c:v>
                </c:pt>
                <c:pt idx="56" formatCode="General">
                  <c:v>75</c:v>
                </c:pt>
                <c:pt idx="57" formatCode="General">
                  <c:v>77</c:v>
                </c:pt>
                <c:pt idx="58" formatCode="General">
                  <c:v>79</c:v>
                </c:pt>
                <c:pt idx="59" formatCode="General">
                  <c:v>81</c:v>
                </c:pt>
                <c:pt idx="60" formatCode="General">
                  <c:v>83</c:v>
                </c:pt>
                <c:pt idx="61" formatCode="General">
                  <c:v>85</c:v>
                </c:pt>
                <c:pt idx="62" formatCode="General">
                  <c:v>87</c:v>
                </c:pt>
                <c:pt idx="63" formatCode="General">
                  <c:v>89</c:v>
                </c:pt>
                <c:pt idx="64" formatCode="General">
                  <c:v>91</c:v>
                </c:pt>
                <c:pt idx="65" formatCode="General">
                  <c:v>93</c:v>
                </c:pt>
                <c:pt idx="66" formatCode="General">
                  <c:v>95</c:v>
                </c:pt>
                <c:pt idx="67" formatCode="General">
                  <c:v>97</c:v>
                </c:pt>
                <c:pt idx="68" formatCode="General">
                  <c:v>99</c:v>
                </c:pt>
                <c:pt idx="69" formatCode="General">
                  <c:v>105</c:v>
                </c:pt>
                <c:pt idx="70" formatCode="General">
                  <c:v>115</c:v>
                </c:pt>
                <c:pt idx="71" formatCode="General">
                  <c:v>125</c:v>
                </c:pt>
                <c:pt idx="72" formatCode="General">
                  <c:v>135</c:v>
                </c:pt>
              </c:numCache>
            </c:numRef>
          </c:xVal>
          <c:yVal>
            <c:numRef>
              <c:f>Len_Sel_D!$F$4:$BZ$4</c:f>
              <c:numCache>
                <c:formatCode>0.00E+00</c:formatCode>
                <c:ptCount val="73"/>
                <c:pt idx="0">
                  <c:v>6.1626800000000002E-8</c:v>
                </c:pt>
                <c:pt idx="1">
                  <c:v>1.7118600000000001E-7</c:v>
                </c:pt>
                <c:pt idx="2">
                  <c:v>3.3552399999999998E-7</c:v>
                </c:pt>
                <c:pt idx="3">
                  <c:v>5.5464100000000002E-7</c:v>
                </c:pt>
                <c:pt idx="4">
                  <c:v>1.1675399999999999E-3</c:v>
                </c:pt>
                <c:pt idx="5">
                  <c:v>2.9641899999999998E-3</c:v>
                </c:pt>
                <c:pt idx="6">
                  <c:v>5.6727399999999999E-3</c:v>
                </c:pt>
                <c:pt idx="7">
                  <c:v>9.6704900000000003E-3</c:v>
                </c:pt>
                <c:pt idx="8">
                  <c:v>1.5446400000000001E-2</c:v>
                </c:pt>
                <c:pt idx="9" formatCode="General">
                  <c:v>2.3613599999999998E-2</c:v>
                </c:pt>
                <c:pt idx="10" formatCode="General">
                  <c:v>3.4913100000000002E-2</c:v>
                </c:pt>
                <c:pt idx="11" formatCode="General">
                  <c:v>5.0205300000000001E-2</c:v>
                </c:pt>
                <c:pt idx="12" formatCode="General">
                  <c:v>7.04433E-2</c:v>
                </c:pt>
                <c:pt idx="13" formatCode="General">
                  <c:v>9.6624199999999993E-2</c:v>
                </c:pt>
                <c:pt idx="14" formatCode="General">
                  <c:v>0.129717</c:v>
                </c:pt>
                <c:pt idx="15" formatCode="General">
                  <c:v>0.17056499999999999</c:v>
                </c:pt>
                <c:pt idx="16" formatCode="General">
                  <c:v>0.21976999999999999</c:v>
                </c:pt>
                <c:pt idx="17" formatCode="General">
                  <c:v>0.27756700000000001</c:v>
                </c:pt>
                <c:pt idx="18" formatCode="General">
                  <c:v>0.343698</c:v>
                </c:pt>
                <c:pt idx="19" formatCode="General">
                  <c:v>0.41730499999999998</c:v>
                </c:pt>
                <c:pt idx="20" formatCode="General">
                  <c:v>0.49686599999999997</c:v>
                </c:pt>
                <c:pt idx="21" formatCode="General">
                  <c:v>0.580179</c:v>
                </c:pt>
                <c:pt idx="22" formatCode="General">
                  <c:v>0.66441700000000004</c:v>
                </c:pt>
                <c:pt idx="23" formatCode="General">
                  <c:v>0.74626099999999995</c:v>
                </c:pt>
                <c:pt idx="24" formatCode="General">
                  <c:v>0.82209200000000004</c:v>
                </c:pt>
                <c:pt idx="25" formatCode="General">
                  <c:v>0.88825500000000002</c:v>
                </c:pt>
                <c:pt idx="26" formatCode="General">
                  <c:v>0.94133900000000004</c:v>
                </c:pt>
                <c:pt idx="27" formatCode="General">
                  <c:v>0.97847499999999998</c:v>
                </c:pt>
                <c:pt idx="28" formatCode="General">
                  <c:v>0.99758899999999995</c:v>
                </c:pt>
                <c:pt idx="29" formatCode="General">
                  <c:v>0.99999700000000002</c:v>
                </c:pt>
                <c:pt idx="30" formatCode="General">
                  <c:v>1</c:v>
                </c:pt>
                <c:pt idx="31" formatCode="General">
                  <c:v>1</c:v>
                </c:pt>
                <c:pt idx="32" formatCode="General">
                  <c:v>1</c:v>
                </c:pt>
                <c:pt idx="33" formatCode="General">
                  <c:v>1</c:v>
                </c:pt>
                <c:pt idx="34" formatCode="General">
                  <c:v>1</c:v>
                </c:pt>
                <c:pt idx="35" formatCode="General">
                  <c:v>1</c:v>
                </c:pt>
                <c:pt idx="36" formatCode="General">
                  <c:v>1</c:v>
                </c:pt>
                <c:pt idx="37" formatCode="General">
                  <c:v>1</c:v>
                </c:pt>
                <c:pt idx="38" formatCode="General">
                  <c:v>1</c:v>
                </c:pt>
                <c:pt idx="39" formatCode="General">
                  <c:v>1</c:v>
                </c:pt>
                <c:pt idx="40" formatCode="General">
                  <c:v>1</c:v>
                </c:pt>
                <c:pt idx="41" formatCode="General">
                  <c:v>1</c:v>
                </c:pt>
                <c:pt idx="42" formatCode="General">
                  <c:v>1</c:v>
                </c:pt>
                <c:pt idx="43" formatCode="General">
                  <c:v>1</c:v>
                </c:pt>
                <c:pt idx="44" formatCode="General">
                  <c:v>1</c:v>
                </c:pt>
                <c:pt idx="45" formatCode="General">
                  <c:v>0.99999700000000002</c:v>
                </c:pt>
                <c:pt idx="46" formatCode="General">
                  <c:v>0.990788</c:v>
                </c:pt>
                <c:pt idx="47" formatCode="General">
                  <c:v>0.95788499999999999</c:v>
                </c:pt>
                <c:pt idx="48" formatCode="General">
                  <c:v>0.90361599999999997</c:v>
                </c:pt>
                <c:pt idx="49" formatCode="General">
                  <c:v>0.83205399999999996</c:v>
                </c:pt>
                <c:pt idx="50" formatCode="General">
                  <c:v>0.74828499999999998</c:v>
                </c:pt>
                <c:pt idx="51" formatCode="General">
                  <c:v>0.65781599999999996</c:v>
                </c:pt>
                <c:pt idx="52" formatCode="General">
                  <c:v>0.56598300000000001</c:v>
                </c:pt>
                <c:pt idx="53" formatCode="General">
                  <c:v>0.47745300000000002</c:v>
                </c:pt>
                <c:pt idx="54" formatCode="General">
                  <c:v>0.39588000000000001</c:v>
                </c:pt>
                <c:pt idx="55" formatCode="General">
                  <c:v>0.323737</c:v>
                </c:pt>
                <c:pt idx="56" formatCode="General">
                  <c:v>0.26231700000000002</c:v>
                </c:pt>
                <c:pt idx="57" formatCode="General">
                  <c:v>0.21187300000000001</c:v>
                </c:pt>
                <c:pt idx="58" formatCode="General">
                  <c:v>0.171843</c:v>
                </c:pt>
                <c:pt idx="59" formatCode="General">
                  <c:v>0.14111399999999999</c:v>
                </c:pt>
                <c:pt idx="60" formatCode="General">
                  <c:v>0.118272</c:v>
                </c:pt>
                <c:pt idx="61" formatCode="General">
                  <c:v>0.10181900000000001</c:v>
                </c:pt>
                <c:pt idx="62" formatCode="General">
                  <c:v>9.0328000000000006E-2</c:v>
                </c:pt>
                <c:pt idx="63" formatCode="General">
                  <c:v>8.2542199999999996E-2</c:v>
                </c:pt>
                <c:pt idx="64" formatCode="General">
                  <c:v>7.7422500000000005E-2</c:v>
                </c:pt>
                <c:pt idx="65" formatCode="General">
                  <c:v>7.4153999999999998E-2</c:v>
                </c:pt>
                <c:pt idx="66" formatCode="General">
                  <c:v>7.2127499999999997E-2</c:v>
                </c:pt>
                <c:pt idx="67" formatCode="General">
                  <c:v>7.0906999999999998E-2</c:v>
                </c:pt>
                <c:pt idx="68" formatCode="General">
                  <c:v>7.01928E-2</c:v>
                </c:pt>
                <c:pt idx="69" formatCode="General">
                  <c:v>6.9441600000000006E-2</c:v>
                </c:pt>
                <c:pt idx="70" formatCode="General">
                  <c:v>6.9319599999999995E-2</c:v>
                </c:pt>
                <c:pt idx="71" formatCode="General">
                  <c:v>6.9316799999999998E-2</c:v>
                </c:pt>
                <c:pt idx="72" formatCode="General">
                  <c:v>6.9316699999999995E-2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Len_Sel_D!$E$5</c:f>
              <c:strCache>
                <c:ptCount val="1"/>
                <c:pt idx="0">
                  <c:v>1978_2_Lsel</c:v>
                </c:pt>
              </c:strCache>
            </c:strRef>
          </c:tx>
          <c:marker>
            <c:symbol val="none"/>
          </c:marker>
          <c:xVal>
            <c:numRef>
              <c:f>Len_Sel_D!$F$2:$BZ$2</c:f>
              <c:numCache>
                <c:formatCode>0.00E+00</c:formatCode>
                <c:ptCount val="73"/>
                <c:pt idx="0">
                  <c:v>1.5</c:v>
                </c:pt>
                <c:pt idx="1">
                  <c:v>2.5</c:v>
                </c:pt>
                <c:pt idx="2">
                  <c:v>3.5</c:v>
                </c:pt>
                <c:pt idx="3">
                  <c:v>4.5</c:v>
                </c:pt>
                <c:pt idx="4">
                  <c:v>5.5</c:v>
                </c:pt>
                <c:pt idx="5">
                  <c:v>6.5</c:v>
                </c:pt>
                <c:pt idx="6">
                  <c:v>7.5</c:v>
                </c:pt>
                <c:pt idx="7">
                  <c:v>8.5</c:v>
                </c:pt>
                <c:pt idx="8">
                  <c:v>9.5</c:v>
                </c:pt>
                <c:pt idx="9" formatCode="General">
                  <c:v>10.5</c:v>
                </c:pt>
                <c:pt idx="10" formatCode="General">
                  <c:v>11.5</c:v>
                </c:pt>
                <c:pt idx="11" formatCode="General">
                  <c:v>12.5</c:v>
                </c:pt>
                <c:pt idx="12" formatCode="General">
                  <c:v>13.5</c:v>
                </c:pt>
                <c:pt idx="13" formatCode="General">
                  <c:v>14.5</c:v>
                </c:pt>
                <c:pt idx="14" formatCode="General">
                  <c:v>15.5</c:v>
                </c:pt>
                <c:pt idx="15" formatCode="General">
                  <c:v>16.5</c:v>
                </c:pt>
                <c:pt idx="16" formatCode="General">
                  <c:v>17.5</c:v>
                </c:pt>
                <c:pt idx="17" formatCode="General">
                  <c:v>18.5</c:v>
                </c:pt>
                <c:pt idx="18" formatCode="General">
                  <c:v>19.5</c:v>
                </c:pt>
                <c:pt idx="19" formatCode="General">
                  <c:v>20.5</c:v>
                </c:pt>
                <c:pt idx="20" formatCode="General">
                  <c:v>21.5</c:v>
                </c:pt>
                <c:pt idx="21" formatCode="General">
                  <c:v>22.5</c:v>
                </c:pt>
                <c:pt idx="22" formatCode="General">
                  <c:v>23.5</c:v>
                </c:pt>
                <c:pt idx="23" formatCode="General">
                  <c:v>24.5</c:v>
                </c:pt>
                <c:pt idx="24" formatCode="General">
                  <c:v>25.5</c:v>
                </c:pt>
                <c:pt idx="25" formatCode="General">
                  <c:v>26.5</c:v>
                </c:pt>
                <c:pt idx="26" formatCode="General">
                  <c:v>27.5</c:v>
                </c:pt>
                <c:pt idx="27" formatCode="General">
                  <c:v>28.5</c:v>
                </c:pt>
                <c:pt idx="28" formatCode="General">
                  <c:v>29.5</c:v>
                </c:pt>
                <c:pt idx="29" formatCode="General">
                  <c:v>30.5</c:v>
                </c:pt>
                <c:pt idx="30" formatCode="General">
                  <c:v>31.5</c:v>
                </c:pt>
                <c:pt idx="31" formatCode="General">
                  <c:v>32.5</c:v>
                </c:pt>
                <c:pt idx="32" formatCode="General">
                  <c:v>33.5</c:v>
                </c:pt>
                <c:pt idx="33" formatCode="General">
                  <c:v>34.5</c:v>
                </c:pt>
                <c:pt idx="34" formatCode="General">
                  <c:v>35.5</c:v>
                </c:pt>
                <c:pt idx="35" formatCode="General">
                  <c:v>36.5</c:v>
                </c:pt>
                <c:pt idx="36" formatCode="General">
                  <c:v>37.5</c:v>
                </c:pt>
                <c:pt idx="37" formatCode="General">
                  <c:v>38.5</c:v>
                </c:pt>
                <c:pt idx="38" formatCode="General">
                  <c:v>39.5</c:v>
                </c:pt>
                <c:pt idx="39" formatCode="General">
                  <c:v>41</c:v>
                </c:pt>
                <c:pt idx="40" formatCode="General">
                  <c:v>43</c:v>
                </c:pt>
                <c:pt idx="41" formatCode="General">
                  <c:v>45</c:v>
                </c:pt>
                <c:pt idx="42" formatCode="General">
                  <c:v>47</c:v>
                </c:pt>
                <c:pt idx="43" formatCode="General">
                  <c:v>49</c:v>
                </c:pt>
                <c:pt idx="44" formatCode="General">
                  <c:v>51</c:v>
                </c:pt>
                <c:pt idx="45" formatCode="General">
                  <c:v>53</c:v>
                </c:pt>
                <c:pt idx="46" formatCode="General">
                  <c:v>55</c:v>
                </c:pt>
                <c:pt idx="47" formatCode="General">
                  <c:v>57</c:v>
                </c:pt>
                <c:pt idx="48" formatCode="General">
                  <c:v>59</c:v>
                </c:pt>
                <c:pt idx="49" formatCode="General">
                  <c:v>61</c:v>
                </c:pt>
                <c:pt idx="50" formatCode="General">
                  <c:v>63</c:v>
                </c:pt>
                <c:pt idx="51" formatCode="General">
                  <c:v>65</c:v>
                </c:pt>
                <c:pt idx="52" formatCode="General">
                  <c:v>67</c:v>
                </c:pt>
                <c:pt idx="53" formatCode="General">
                  <c:v>69</c:v>
                </c:pt>
                <c:pt idx="54" formatCode="General">
                  <c:v>71</c:v>
                </c:pt>
                <c:pt idx="55" formatCode="General">
                  <c:v>73</c:v>
                </c:pt>
                <c:pt idx="56" formatCode="General">
                  <c:v>75</c:v>
                </c:pt>
                <c:pt idx="57" formatCode="General">
                  <c:v>77</c:v>
                </c:pt>
                <c:pt idx="58" formatCode="General">
                  <c:v>79</c:v>
                </c:pt>
                <c:pt idx="59" formatCode="General">
                  <c:v>81</c:v>
                </c:pt>
                <c:pt idx="60" formatCode="General">
                  <c:v>83</c:v>
                </c:pt>
                <c:pt idx="61" formatCode="General">
                  <c:v>85</c:v>
                </c:pt>
                <c:pt idx="62" formatCode="General">
                  <c:v>87</c:v>
                </c:pt>
                <c:pt idx="63" formatCode="General">
                  <c:v>89</c:v>
                </c:pt>
                <c:pt idx="64" formatCode="General">
                  <c:v>91</c:v>
                </c:pt>
                <c:pt idx="65" formatCode="General">
                  <c:v>93</c:v>
                </c:pt>
                <c:pt idx="66" formatCode="General">
                  <c:v>95</c:v>
                </c:pt>
                <c:pt idx="67" formatCode="General">
                  <c:v>97</c:v>
                </c:pt>
                <c:pt idx="68" formatCode="General">
                  <c:v>99</c:v>
                </c:pt>
                <c:pt idx="69" formatCode="General">
                  <c:v>105</c:v>
                </c:pt>
                <c:pt idx="70" formatCode="General">
                  <c:v>115</c:v>
                </c:pt>
                <c:pt idx="71" formatCode="General">
                  <c:v>125</c:v>
                </c:pt>
                <c:pt idx="72" formatCode="General">
                  <c:v>135</c:v>
                </c:pt>
              </c:numCache>
            </c:numRef>
          </c:xVal>
          <c:yVal>
            <c:numRef>
              <c:f>Len_Sel_D!$F$5:$BZ$5</c:f>
              <c:numCache>
                <c:formatCode>0.00E+00</c:formatCode>
                <c:ptCount val="73"/>
                <c:pt idx="0">
                  <c:v>2.18755E-9</c:v>
                </c:pt>
                <c:pt idx="1">
                  <c:v>4.8699200000000001E-9</c:v>
                </c:pt>
                <c:pt idx="2">
                  <c:v>1.0841399999999999E-8</c:v>
                </c:pt>
                <c:pt idx="3">
                  <c:v>2.4135000000000001E-8</c:v>
                </c:pt>
                <c:pt idx="4">
                  <c:v>5.3729300000000001E-8</c:v>
                </c:pt>
                <c:pt idx="5">
                  <c:v>1.19612E-7</c:v>
                </c:pt>
                <c:pt idx="6">
                  <c:v>2.66279E-7</c:v>
                </c:pt>
                <c:pt idx="7">
                  <c:v>5.9278899999999998E-7</c:v>
                </c:pt>
                <c:pt idx="8">
                  <c:v>1.31966E-6</c:v>
                </c:pt>
                <c:pt idx="9">
                  <c:v>2.9378200000000002E-6</c:v>
                </c:pt>
                <c:pt idx="10">
                  <c:v>6.5401399999999997E-6</c:v>
                </c:pt>
                <c:pt idx="11">
                  <c:v>1.45595E-5</c:v>
                </c:pt>
                <c:pt idx="12">
                  <c:v>3.24117E-5</c:v>
                </c:pt>
                <c:pt idx="13">
                  <c:v>7.2151900000000003E-5</c:v>
                </c:pt>
                <c:pt idx="14" formatCode="General">
                  <c:v>1.6061E-4</c:v>
                </c:pt>
                <c:pt idx="15" formatCode="General">
                  <c:v>3.5747799999999999E-4</c:v>
                </c:pt>
                <c:pt idx="16" formatCode="General">
                  <c:v>7.9546800000000002E-4</c:v>
                </c:pt>
                <c:pt idx="17" formatCode="General">
                  <c:v>1.76914E-3</c:v>
                </c:pt>
                <c:pt idx="18" formatCode="General">
                  <c:v>3.9299199999999999E-3</c:v>
                </c:pt>
                <c:pt idx="19" formatCode="General">
                  <c:v>8.7068200000000005E-3</c:v>
                </c:pt>
                <c:pt idx="20" formatCode="General">
                  <c:v>1.9178299999999999E-2</c:v>
                </c:pt>
                <c:pt idx="21" formatCode="General">
                  <c:v>4.1713699999999999E-2</c:v>
                </c:pt>
                <c:pt idx="22" formatCode="General">
                  <c:v>8.8344099999999995E-2</c:v>
                </c:pt>
                <c:pt idx="23" formatCode="General">
                  <c:v>0.177449</c:v>
                </c:pt>
                <c:pt idx="24" formatCode="General">
                  <c:v>0.32444099999999998</c:v>
                </c:pt>
                <c:pt idx="25" formatCode="General">
                  <c:v>0.51670799999999995</c:v>
                </c:pt>
                <c:pt idx="26" formatCode="General">
                  <c:v>0.70415300000000003</c:v>
                </c:pt>
                <c:pt idx="27" formatCode="General">
                  <c:v>0.84123499999999996</c:v>
                </c:pt>
                <c:pt idx="28" formatCode="General">
                  <c:v>0.92184900000000003</c:v>
                </c:pt>
                <c:pt idx="29" formatCode="General">
                  <c:v>0.96331599999999995</c:v>
                </c:pt>
                <c:pt idx="30" formatCode="General">
                  <c:v>0.983182</c:v>
                </c:pt>
                <c:pt idx="31" formatCode="General">
                  <c:v>0.99237500000000001</c:v>
                </c:pt>
                <c:pt idx="32" formatCode="General">
                  <c:v>0.99656</c:v>
                </c:pt>
                <c:pt idx="33" formatCode="General">
                  <c:v>0.99845200000000001</c:v>
                </c:pt>
                <c:pt idx="34" formatCode="General">
                  <c:v>0.99930399999999997</c:v>
                </c:pt>
                <c:pt idx="35" formatCode="General">
                  <c:v>0.99968699999999999</c:v>
                </c:pt>
                <c:pt idx="36" formatCode="General">
                  <c:v>0.99985900000000005</c:v>
                </c:pt>
                <c:pt idx="37" formatCode="General">
                  <c:v>0.99993699999999996</c:v>
                </c:pt>
                <c:pt idx="38" formatCode="General">
                  <c:v>0.99997199999999997</c:v>
                </c:pt>
                <c:pt idx="39" formatCode="General">
                  <c:v>0.99999099999999996</c:v>
                </c:pt>
                <c:pt idx="40" formatCode="General">
                  <c:v>0.99999800000000005</c:v>
                </c:pt>
                <c:pt idx="41" formatCode="General">
                  <c:v>1</c:v>
                </c:pt>
                <c:pt idx="42" formatCode="General">
                  <c:v>1</c:v>
                </c:pt>
                <c:pt idx="43" formatCode="General">
                  <c:v>1</c:v>
                </c:pt>
                <c:pt idx="44" formatCode="General">
                  <c:v>1</c:v>
                </c:pt>
                <c:pt idx="45" formatCode="General">
                  <c:v>1</c:v>
                </c:pt>
                <c:pt idx="46" formatCode="General">
                  <c:v>1</c:v>
                </c:pt>
                <c:pt idx="47" formatCode="General">
                  <c:v>1</c:v>
                </c:pt>
                <c:pt idx="48" formatCode="General">
                  <c:v>1</c:v>
                </c:pt>
                <c:pt idx="49" formatCode="General">
                  <c:v>1</c:v>
                </c:pt>
                <c:pt idx="50" formatCode="General">
                  <c:v>1</c:v>
                </c:pt>
                <c:pt idx="51" formatCode="General">
                  <c:v>1</c:v>
                </c:pt>
                <c:pt idx="52" formatCode="General">
                  <c:v>1</c:v>
                </c:pt>
                <c:pt idx="53" formatCode="General">
                  <c:v>1</c:v>
                </c:pt>
                <c:pt idx="54" formatCode="General">
                  <c:v>1</c:v>
                </c:pt>
                <c:pt idx="55" formatCode="General">
                  <c:v>1</c:v>
                </c:pt>
                <c:pt idx="56" formatCode="General">
                  <c:v>1</c:v>
                </c:pt>
                <c:pt idx="57" formatCode="General">
                  <c:v>1</c:v>
                </c:pt>
                <c:pt idx="58" formatCode="General">
                  <c:v>1</c:v>
                </c:pt>
                <c:pt idx="59" formatCode="General">
                  <c:v>1</c:v>
                </c:pt>
                <c:pt idx="60" formatCode="General">
                  <c:v>1</c:v>
                </c:pt>
                <c:pt idx="61" formatCode="General">
                  <c:v>1</c:v>
                </c:pt>
                <c:pt idx="62" formatCode="General">
                  <c:v>1</c:v>
                </c:pt>
                <c:pt idx="63" formatCode="General">
                  <c:v>1</c:v>
                </c:pt>
                <c:pt idx="64" formatCode="General">
                  <c:v>1</c:v>
                </c:pt>
                <c:pt idx="65" formatCode="General">
                  <c:v>1</c:v>
                </c:pt>
                <c:pt idx="66" formatCode="General">
                  <c:v>1</c:v>
                </c:pt>
                <c:pt idx="67" formatCode="General">
                  <c:v>1</c:v>
                </c:pt>
                <c:pt idx="68" formatCode="General">
                  <c:v>1</c:v>
                </c:pt>
                <c:pt idx="69" formatCode="General">
                  <c:v>1</c:v>
                </c:pt>
                <c:pt idx="70" formatCode="General">
                  <c:v>1</c:v>
                </c:pt>
                <c:pt idx="71" formatCode="General">
                  <c:v>1</c:v>
                </c:pt>
                <c:pt idx="72" formatCode="General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Len_Sel_D!$E$6</c:f>
              <c:strCache>
                <c:ptCount val="1"/>
                <c:pt idx="0">
                  <c:v>1978_3_Lsel</c:v>
                </c:pt>
              </c:strCache>
            </c:strRef>
          </c:tx>
          <c:marker>
            <c:symbol val="none"/>
          </c:marker>
          <c:xVal>
            <c:numRef>
              <c:f>Len_Sel_D!$F$2:$BZ$2</c:f>
              <c:numCache>
                <c:formatCode>0.00E+00</c:formatCode>
                <c:ptCount val="73"/>
                <c:pt idx="0">
                  <c:v>1.5</c:v>
                </c:pt>
                <c:pt idx="1">
                  <c:v>2.5</c:v>
                </c:pt>
                <c:pt idx="2">
                  <c:v>3.5</c:v>
                </c:pt>
                <c:pt idx="3">
                  <c:v>4.5</c:v>
                </c:pt>
                <c:pt idx="4">
                  <c:v>5.5</c:v>
                </c:pt>
                <c:pt idx="5">
                  <c:v>6.5</c:v>
                </c:pt>
                <c:pt idx="6">
                  <c:v>7.5</c:v>
                </c:pt>
                <c:pt idx="7">
                  <c:v>8.5</c:v>
                </c:pt>
                <c:pt idx="8">
                  <c:v>9.5</c:v>
                </c:pt>
                <c:pt idx="9" formatCode="General">
                  <c:v>10.5</c:v>
                </c:pt>
                <c:pt idx="10" formatCode="General">
                  <c:v>11.5</c:v>
                </c:pt>
                <c:pt idx="11" formatCode="General">
                  <c:v>12.5</c:v>
                </c:pt>
                <c:pt idx="12" formatCode="General">
                  <c:v>13.5</c:v>
                </c:pt>
                <c:pt idx="13" formatCode="General">
                  <c:v>14.5</c:v>
                </c:pt>
                <c:pt idx="14" formatCode="General">
                  <c:v>15.5</c:v>
                </c:pt>
                <c:pt idx="15" formatCode="General">
                  <c:v>16.5</c:v>
                </c:pt>
                <c:pt idx="16" formatCode="General">
                  <c:v>17.5</c:v>
                </c:pt>
                <c:pt idx="17" formatCode="General">
                  <c:v>18.5</c:v>
                </c:pt>
                <c:pt idx="18" formatCode="General">
                  <c:v>19.5</c:v>
                </c:pt>
                <c:pt idx="19" formatCode="General">
                  <c:v>20.5</c:v>
                </c:pt>
                <c:pt idx="20" formatCode="General">
                  <c:v>21.5</c:v>
                </c:pt>
                <c:pt idx="21" formatCode="General">
                  <c:v>22.5</c:v>
                </c:pt>
                <c:pt idx="22" formatCode="General">
                  <c:v>23.5</c:v>
                </c:pt>
                <c:pt idx="23" formatCode="General">
                  <c:v>24.5</c:v>
                </c:pt>
                <c:pt idx="24" formatCode="General">
                  <c:v>25.5</c:v>
                </c:pt>
                <c:pt idx="25" formatCode="General">
                  <c:v>26.5</c:v>
                </c:pt>
                <c:pt idx="26" formatCode="General">
                  <c:v>27.5</c:v>
                </c:pt>
                <c:pt idx="27" formatCode="General">
                  <c:v>28.5</c:v>
                </c:pt>
                <c:pt idx="28" formatCode="General">
                  <c:v>29.5</c:v>
                </c:pt>
                <c:pt idx="29" formatCode="General">
                  <c:v>30.5</c:v>
                </c:pt>
                <c:pt idx="30" formatCode="General">
                  <c:v>31.5</c:v>
                </c:pt>
                <c:pt idx="31" formatCode="General">
                  <c:v>32.5</c:v>
                </c:pt>
                <c:pt idx="32" formatCode="General">
                  <c:v>33.5</c:v>
                </c:pt>
                <c:pt idx="33" formatCode="General">
                  <c:v>34.5</c:v>
                </c:pt>
                <c:pt idx="34" formatCode="General">
                  <c:v>35.5</c:v>
                </c:pt>
                <c:pt idx="35" formatCode="General">
                  <c:v>36.5</c:v>
                </c:pt>
                <c:pt idx="36" formatCode="General">
                  <c:v>37.5</c:v>
                </c:pt>
                <c:pt idx="37" formatCode="General">
                  <c:v>38.5</c:v>
                </c:pt>
                <c:pt idx="38" formatCode="General">
                  <c:v>39.5</c:v>
                </c:pt>
                <c:pt idx="39" formatCode="General">
                  <c:v>41</c:v>
                </c:pt>
                <c:pt idx="40" formatCode="General">
                  <c:v>43</c:v>
                </c:pt>
                <c:pt idx="41" formatCode="General">
                  <c:v>45</c:v>
                </c:pt>
                <c:pt idx="42" formatCode="General">
                  <c:v>47</c:v>
                </c:pt>
                <c:pt idx="43" formatCode="General">
                  <c:v>49</c:v>
                </c:pt>
                <c:pt idx="44" formatCode="General">
                  <c:v>51</c:v>
                </c:pt>
                <c:pt idx="45" formatCode="General">
                  <c:v>53</c:v>
                </c:pt>
                <c:pt idx="46" formatCode="General">
                  <c:v>55</c:v>
                </c:pt>
                <c:pt idx="47" formatCode="General">
                  <c:v>57</c:v>
                </c:pt>
                <c:pt idx="48" formatCode="General">
                  <c:v>59</c:v>
                </c:pt>
                <c:pt idx="49" formatCode="General">
                  <c:v>61</c:v>
                </c:pt>
                <c:pt idx="50" formatCode="General">
                  <c:v>63</c:v>
                </c:pt>
                <c:pt idx="51" formatCode="General">
                  <c:v>65</c:v>
                </c:pt>
                <c:pt idx="52" formatCode="General">
                  <c:v>67</c:v>
                </c:pt>
                <c:pt idx="53" formatCode="General">
                  <c:v>69</c:v>
                </c:pt>
                <c:pt idx="54" formatCode="General">
                  <c:v>71</c:v>
                </c:pt>
                <c:pt idx="55" formatCode="General">
                  <c:v>73</c:v>
                </c:pt>
                <c:pt idx="56" formatCode="General">
                  <c:v>75</c:v>
                </c:pt>
                <c:pt idx="57" formatCode="General">
                  <c:v>77</c:v>
                </c:pt>
                <c:pt idx="58" formatCode="General">
                  <c:v>79</c:v>
                </c:pt>
                <c:pt idx="59" formatCode="General">
                  <c:v>81</c:v>
                </c:pt>
                <c:pt idx="60" formatCode="General">
                  <c:v>83</c:v>
                </c:pt>
                <c:pt idx="61" formatCode="General">
                  <c:v>85</c:v>
                </c:pt>
                <c:pt idx="62" formatCode="General">
                  <c:v>87</c:v>
                </c:pt>
                <c:pt idx="63" formatCode="General">
                  <c:v>89</c:v>
                </c:pt>
                <c:pt idx="64" formatCode="General">
                  <c:v>91</c:v>
                </c:pt>
                <c:pt idx="65" formatCode="General">
                  <c:v>93</c:v>
                </c:pt>
                <c:pt idx="66" formatCode="General">
                  <c:v>95</c:v>
                </c:pt>
                <c:pt idx="67" formatCode="General">
                  <c:v>97</c:v>
                </c:pt>
                <c:pt idx="68" formatCode="General">
                  <c:v>99</c:v>
                </c:pt>
                <c:pt idx="69" formatCode="General">
                  <c:v>105</c:v>
                </c:pt>
                <c:pt idx="70" formatCode="General">
                  <c:v>115</c:v>
                </c:pt>
                <c:pt idx="71" formatCode="General">
                  <c:v>125</c:v>
                </c:pt>
                <c:pt idx="72" formatCode="General">
                  <c:v>135</c:v>
                </c:pt>
              </c:numCache>
            </c:numRef>
          </c:xVal>
          <c:yVal>
            <c:numRef>
              <c:f>Len_Sel_D!$F$6:$BZ$6</c:f>
              <c:numCache>
                <c:formatCode>General</c:formatCode>
                <c:ptCount val="73"/>
                <c:pt idx="0" formatCode="0.00E+00">
                  <c:v>7.7681699999999999E-5</c:v>
                </c:pt>
                <c:pt idx="1">
                  <c:v>2.1578299999999999E-4</c:v>
                </c:pt>
                <c:pt idx="2">
                  <c:v>4.2293400000000003E-4</c:v>
                </c:pt>
                <c:pt idx="3">
                  <c:v>6.9913500000000003E-4</c:v>
                </c:pt>
                <c:pt idx="4">
                  <c:v>2.8090900000000002E-3</c:v>
                </c:pt>
                <c:pt idx="5">
                  <c:v>9.7379500000000004E-3</c:v>
                </c:pt>
                <c:pt idx="6">
                  <c:v>2.91247E-2</c:v>
                </c:pt>
                <c:pt idx="7">
                  <c:v>7.5153399999999995E-2</c:v>
                </c:pt>
                <c:pt idx="8">
                  <c:v>0.16731199999999999</c:v>
                </c:pt>
                <c:pt idx="9">
                  <c:v>0.32136500000000001</c:v>
                </c:pt>
                <c:pt idx="10">
                  <c:v>0.53255200000000003</c:v>
                </c:pt>
                <c:pt idx="11">
                  <c:v>0.76140699999999994</c:v>
                </c:pt>
                <c:pt idx="12">
                  <c:v>0.939218</c:v>
                </c:pt>
                <c:pt idx="13">
                  <c:v>0.99991399999999997</c:v>
                </c:pt>
                <c:pt idx="14">
                  <c:v>0.99997100000000005</c:v>
                </c:pt>
                <c:pt idx="15">
                  <c:v>0.99389000000000005</c:v>
                </c:pt>
                <c:pt idx="16">
                  <c:v>0.97749699999999995</c:v>
                </c:pt>
                <c:pt idx="17">
                  <c:v>0.951322</c:v>
                </c:pt>
                <c:pt idx="18">
                  <c:v>0.91620500000000005</c:v>
                </c:pt>
                <c:pt idx="19">
                  <c:v>0.873247</c:v>
                </c:pt>
                <c:pt idx="20">
                  <c:v>0.82375200000000004</c:v>
                </c:pt>
                <c:pt idx="21">
                  <c:v>0.76916300000000004</c:v>
                </c:pt>
                <c:pt idx="22">
                  <c:v>0.71099000000000001</c:v>
                </c:pt>
                <c:pt idx="23">
                  <c:v>0.65074600000000005</c:v>
                </c:pt>
                <c:pt idx="24">
                  <c:v>0.58987800000000001</c:v>
                </c:pt>
                <c:pt idx="25">
                  <c:v>0.52971599999999996</c:v>
                </c:pt>
                <c:pt idx="26">
                  <c:v>0.47142899999999999</c:v>
                </c:pt>
                <c:pt idx="27">
                  <c:v>0.415993</c:v>
                </c:pt>
                <c:pt idx="28">
                  <c:v>0.364176</c:v>
                </c:pt>
                <c:pt idx="29">
                  <c:v>0.31653300000000001</c:v>
                </c:pt>
                <c:pt idx="30">
                  <c:v>0.27340900000000001</c:v>
                </c:pt>
                <c:pt idx="31">
                  <c:v>0.23496400000000001</c:v>
                </c:pt>
                <c:pt idx="32">
                  <c:v>0.20118800000000001</c:v>
                </c:pt>
                <c:pt idx="33">
                  <c:v>0.171935</c:v>
                </c:pt>
                <c:pt idx="34">
                  <c:v>0.146948</c:v>
                </c:pt>
                <c:pt idx="35">
                  <c:v>0.12589400000000001</c:v>
                </c:pt>
                <c:pt idx="36">
                  <c:v>0.10839</c:v>
                </c:pt>
                <c:pt idx="37">
                  <c:v>9.4027899999999998E-2</c:v>
                </c:pt>
                <c:pt idx="38">
                  <c:v>8.2395200000000002E-2</c:v>
                </c:pt>
                <c:pt idx="39">
                  <c:v>6.9198499999999996E-2</c:v>
                </c:pt>
                <c:pt idx="40">
                  <c:v>5.76698E-2</c:v>
                </c:pt>
                <c:pt idx="41">
                  <c:v>5.0905300000000001E-2</c:v>
                </c:pt>
                <c:pt idx="42">
                  <c:v>4.7125300000000002E-2</c:v>
                </c:pt>
                <c:pt idx="43">
                  <c:v>4.51125E-2</c:v>
                </c:pt>
                <c:pt idx="44">
                  <c:v>4.4090699999999997E-2</c:v>
                </c:pt>
                <c:pt idx="45">
                  <c:v>4.35959E-2</c:v>
                </c:pt>
                <c:pt idx="46">
                  <c:v>4.3367299999999998E-2</c:v>
                </c:pt>
                <c:pt idx="47">
                  <c:v>4.3266399999999997E-2</c:v>
                </c:pt>
                <c:pt idx="48">
                  <c:v>4.3223999999999999E-2</c:v>
                </c:pt>
                <c:pt idx="49">
                  <c:v>4.3206899999999999E-2</c:v>
                </c:pt>
                <c:pt idx="50">
                  <c:v>4.32004E-2</c:v>
                </c:pt>
                <c:pt idx="51">
                  <c:v>4.3198E-2</c:v>
                </c:pt>
                <c:pt idx="52">
                  <c:v>4.3197100000000002E-2</c:v>
                </c:pt>
                <c:pt idx="53">
                  <c:v>4.31968E-2</c:v>
                </c:pt>
                <c:pt idx="54">
                  <c:v>4.3196699999999998E-2</c:v>
                </c:pt>
                <c:pt idx="55">
                  <c:v>4.3196699999999998E-2</c:v>
                </c:pt>
                <c:pt idx="56">
                  <c:v>4.3196699999999998E-2</c:v>
                </c:pt>
                <c:pt idx="57">
                  <c:v>4.3196699999999998E-2</c:v>
                </c:pt>
                <c:pt idx="58">
                  <c:v>4.3196699999999998E-2</c:v>
                </c:pt>
                <c:pt idx="59">
                  <c:v>4.3196699999999998E-2</c:v>
                </c:pt>
                <c:pt idx="60">
                  <c:v>4.3196699999999998E-2</c:v>
                </c:pt>
                <c:pt idx="61">
                  <c:v>4.3196699999999998E-2</c:v>
                </c:pt>
                <c:pt idx="62">
                  <c:v>4.3196699999999998E-2</c:v>
                </c:pt>
                <c:pt idx="63">
                  <c:v>4.3196699999999998E-2</c:v>
                </c:pt>
                <c:pt idx="64">
                  <c:v>4.3196699999999998E-2</c:v>
                </c:pt>
                <c:pt idx="65">
                  <c:v>4.3196699999999998E-2</c:v>
                </c:pt>
                <c:pt idx="66">
                  <c:v>4.3196699999999998E-2</c:v>
                </c:pt>
                <c:pt idx="67">
                  <c:v>4.3196699999999998E-2</c:v>
                </c:pt>
                <c:pt idx="68">
                  <c:v>4.3196699999999998E-2</c:v>
                </c:pt>
                <c:pt idx="69">
                  <c:v>4.3196699999999998E-2</c:v>
                </c:pt>
                <c:pt idx="70">
                  <c:v>4.3196699999999998E-2</c:v>
                </c:pt>
                <c:pt idx="71">
                  <c:v>4.3196699999999998E-2</c:v>
                </c:pt>
                <c:pt idx="72">
                  <c:v>4.3196699999999998E-2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Len_Sel_D!$E$7</c:f>
              <c:strCache>
                <c:ptCount val="1"/>
                <c:pt idx="0">
                  <c:v>1978_4_Lsel</c:v>
                </c:pt>
              </c:strCache>
            </c:strRef>
          </c:tx>
          <c:marker>
            <c:symbol val="none"/>
          </c:marker>
          <c:xVal>
            <c:numRef>
              <c:f>Len_Sel_D!$F$2:$BZ$2</c:f>
              <c:numCache>
                <c:formatCode>0.00E+00</c:formatCode>
                <c:ptCount val="73"/>
                <c:pt idx="0">
                  <c:v>1.5</c:v>
                </c:pt>
                <c:pt idx="1">
                  <c:v>2.5</c:v>
                </c:pt>
                <c:pt idx="2">
                  <c:v>3.5</c:v>
                </c:pt>
                <c:pt idx="3">
                  <c:v>4.5</c:v>
                </c:pt>
                <c:pt idx="4">
                  <c:v>5.5</c:v>
                </c:pt>
                <c:pt idx="5">
                  <c:v>6.5</c:v>
                </c:pt>
                <c:pt idx="6">
                  <c:v>7.5</c:v>
                </c:pt>
                <c:pt idx="7">
                  <c:v>8.5</c:v>
                </c:pt>
                <c:pt idx="8">
                  <c:v>9.5</c:v>
                </c:pt>
                <c:pt idx="9" formatCode="General">
                  <c:v>10.5</c:v>
                </c:pt>
                <c:pt idx="10" formatCode="General">
                  <c:v>11.5</c:v>
                </c:pt>
                <c:pt idx="11" formatCode="General">
                  <c:v>12.5</c:v>
                </c:pt>
                <c:pt idx="12" formatCode="General">
                  <c:v>13.5</c:v>
                </c:pt>
                <c:pt idx="13" formatCode="General">
                  <c:v>14.5</c:v>
                </c:pt>
                <c:pt idx="14" formatCode="General">
                  <c:v>15.5</c:v>
                </c:pt>
                <c:pt idx="15" formatCode="General">
                  <c:v>16.5</c:v>
                </c:pt>
                <c:pt idx="16" formatCode="General">
                  <c:v>17.5</c:v>
                </c:pt>
                <c:pt idx="17" formatCode="General">
                  <c:v>18.5</c:v>
                </c:pt>
                <c:pt idx="18" formatCode="General">
                  <c:v>19.5</c:v>
                </c:pt>
                <c:pt idx="19" formatCode="General">
                  <c:v>20.5</c:v>
                </c:pt>
                <c:pt idx="20" formatCode="General">
                  <c:v>21.5</c:v>
                </c:pt>
                <c:pt idx="21" formatCode="General">
                  <c:v>22.5</c:v>
                </c:pt>
                <c:pt idx="22" formatCode="General">
                  <c:v>23.5</c:v>
                </c:pt>
                <c:pt idx="23" formatCode="General">
                  <c:v>24.5</c:v>
                </c:pt>
                <c:pt idx="24" formatCode="General">
                  <c:v>25.5</c:v>
                </c:pt>
                <c:pt idx="25" formatCode="General">
                  <c:v>26.5</c:v>
                </c:pt>
                <c:pt idx="26" formatCode="General">
                  <c:v>27.5</c:v>
                </c:pt>
                <c:pt idx="27" formatCode="General">
                  <c:v>28.5</c:v>
                </c:pt>
                <c:pt idx="28" formatCode="General">
                  <c:v>29.5</c:v>
                </c:pt>
                <c:pt idx="29" formatCode="General">
                  <c:v>30.5</c:v>
                </c:pt>
                <c:pt idx="30" formatCode="General">
                  <c:v>31.5</c:v>
                </c:pt>
                <c:pt idx="31" formatCode="General">
                  <c:v>32.5</c:v>
                </c:pt>
                <c:pt idx="32" formatCode="General">
                  <c:v>33.5</c:v>
                </c:pt>
                <c:pt idx="33" formatCode="General">
                  <c:v>34.5</c:v>
                </c:pt>
                <c:pt idx="34" formatCode="General">
                  <c:v>35.5</c:v>
                </c:pt>
                <c:pt idx="35" formatCode="General">
                  <c:v>36.5</c:v>
                </c:pt>
                <c:pt idx="36" formatCode="General">
                  <c:v>37.5</c:v>
                </c:pt>
                <c:pt idx="37" formatCode="General">
                  <c:v>38.5</c:v>
                </c:pt>
                <c:pt idx="38" formatCode="General">
                  <c:v>39.5</c:v>
                </c:pt>
                <c:pt idx="39" formatCode="General">
                  <c:v>41</c:v>
                </c:pt>
                <c:pt idx="40" formatCode="General">
                  <c:v>43</c:v>
                </c:pt>
                <c:pt idx="41" formatCode="General">
                  <c:v>45</c:v>
                </c:pt>
                <c:pt idx="42" formatCode="General">
                  <c:v>47</c:v>
                </c:pt>
                <c:pt idx="43" formatCode="General">
                  <c:v>49</c:v>
                </c:pt>
                <c:pt idx="44" formatCode="General">
                  <c:v>51</c:v>
                </c:pt>
                <c:pt idx="45" formatCode="General">
                  <c:v>53</c:v>
                </c:pt>
                <c:pt idx="46" formatCode="General">
                  <c:v>55</c:v>
                </c:pt>
                <c:pt idx="47" formatCode="General">
                  <c:v>57</c:v>
                </c:pt>
                <c:pt idx="48" formatCode="General">
                  <c:v>59</c:v>
                </c:pt>
                <c:pt idx="49" formatCode="General">
                  <c:v>61</c:v>
                </c:pt>
                <c:pt idx="50" formatCode="General">
                  <c:v>63</c:v>
                </c:pt>
                <c:pt idx="51" formatCode="General">
                  <c:v>65</c:v>
                </c:pt>
                <c:pt idx="52" formatCode="General">
                  <c:v>67</c:v>
                </c:pt>
                <c:pt idx="53" formatCode="General">
                  <c:v>69</c:v>
                </c:pt>
                <c:pt idx="54" formatCode="General">
                  <c:v>71</c:v>
                </c:pt>
                <c:pt idx="55" formatCode="General">
                  <c:v>73</c:v>
                </c:pt>
                <c:pt idx="56" formatCode="General">
                  <c:v>75</c:v>
                </c:pt>
                <c:pt idx="57" formatCode="General">
                  <c:v>77</c:v>
                </c:pt>
                <c:pt idx="58" formatCode="General">
                  <c:v>79</c:v>
                </c:pt>
                <c:pt idx="59" formatCode="General">
                  <c:v>81</c:v>
                </c:pt>
                <c:pt idx="60" formatCode="General">
                  <c:v>83</c:v>
                </c:pt>
                <c:pt idx="61" formatCode="General">
                  <c:v>85</c:v>
                </c:pt>
                <c:pt idx="62" formatCode="General">
                  <c:v>87</c:v>
                </c:pt>
                <c:pt idx="63" formatCode="General">
                  <c:v>89</c:v>
                </c:pt>
                <c:pt idx="64" formatCode="General">
                  <c:v>91</c:v>
                </c:pt>
                <c:pt idx="65" formatCode="General">
                  <c:v>93</c:v>
                </c:pt>
                <c:pt idx="66" formatCode="General">
                  <c:v>95</c:v>
                </c:pt>
                <c:pt idx="67" formatCode="General">
                  <c:v>97</c:v>
                </c:pt>
                <c:pt idx="68" formatCode="General">
                  <c:v>99</c:v>
                </c:pt>
                <c:pt idx="69" formatCode="General">
                  <c:v>105</c:v>
                </c:pt>
                <c:pt idx="70" formatCode="General">
                  <c:v>115</c:v>
                </c:pt>
                <c:pt idx="71" formatCode="General">
                  <c:v>125</c:v>
                </c:pt>
                <c:pt idx="72" formatCode="General">
                  <c:v>135</c:v>
                </c:pt>
              </c:numCache>
            </c:numRef>
          </c:xVal>
          <c:yVal>
            <c:numRef>
              <c:f>Len_Sel_D!$F$7:$BZ$7</c:f>
              <c:numCache>
                <c:formatCode>General</c:formatCode>
                <c:ptCount val="73"/>
                <c:pt idx="0">
                  <c:v>8.1556100000000002E-4</c:v>
                </c:pt>
                <c:pt idx="1">
                  <c:v>2.26545E-3</c:v>
                </c:pt>
                <c:pt idx="2">
                  <c:v>4.4402799999999996E-3</c:v>
                </c:pt>
                <c:pt idx="3">
                  <c:v>7.3400499999999999E-3</c:v>
                </c:pt>
                <c:pt idx="4">
                  <c:v>8.1124500000000002E-3</c:v>
                </c:pt>
                <c:pt idx="5">
                  <c:v>1.0167000000000001E-2</c:v>
                </c:pt>
                <c:pt idx="6">
                  <c:v>1.51617E-2</c:v>
                </c:pt>
                <c:pt idx="7">
                  <c:v>2.6244400000000001E-2</c:v>
                </c:pt>
                <c:pt idx="8">
                  <c:v>4.8653500000000002E-2</c:v>
                </c:pt>
                <c:pt idx="9">
                  <c:v>8.9851600000000004E-2</c:v>
                </c:pt>
                <c:pt idx="10">
                  <c:v>0.15850500000000001</c:v>
                </c:pt>
                <c:pt idx="11">
                  <c:v>0.261737</c:v>
                </c:pt>
                <c:pt idx="12">
                  <c:v>0.40084599999999998</c:v>
                </c:pt>
                <c:pt idx="13">
                  <c:v>0.56693899999999997</c:v>
                </c:pt>
                <c:pt idx="14">
                  <c:v>0.73905100000000001</c:v>
                </c:pt>
                <c:pt idx="15">
                  <c:v>0.887096</c:v>
                </c:pt>
                <c:pt idx="16">
                  <c:v>0.97999499999999995</c:v>
                </c:pt>
                <c:pt idx="17">
                  <c:v>0.99996399999999996</c:v>
                </c:pt>
                <c:pt idx="18">
                  <c:v>0.99999899999999997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0.99999700000000002</c:v>
                </c:pt>
                <c:pt idx="35">
                  <c:v>0.99799800000000005</c:v>
                </c:pt>
                <c:pt idx="36">
                  <c:v>0.98472499999999996</c:v>
                </c:pt>
                <c:pt idx="37">
                  <c:v>0.95959700000000003</c:v>
                </c:pt>
                <c:pt idx="38">
                  <c:v>0.92374599999999996</c:v>
                </c:pt>
                <c:pt idx="39">
                  <c:v>0.85340400000000005</c:v>
                </c:pt>
                <c:pt idx="40">
                  <c:v>0.73914899999999994</c:v>
                </c:pt>
                <c:pt idx="41">
                  <c:v>0.61696099999999998</c:v>
                </c:pt>
                <c:pt idx="42">
                  <c:v>0.50166299999999997</c:v>
                </c:pt>
                <c:pt idx="43">
                  <c:v>0.40341700000000003</c:v>
                </c:pt>
                <c:pt idx="44">
                  <c:v>0.326872</c:v>
                </c:pt>
                <c:pt idx="45">
                  <c:v>0.27193699999999998</c:v>
                </c:pt>
                <c:pt idx="46">
                  <c:v>0.23544499999999999</c:v>
                </c:pt>
                <c:pt idx="47">
                  <c:v>0.21293300000000001</c:v>
                </c:pt>
                <c:pt idx="48">
                  <c:v>0.20000699999999999</c:v>
                </c:pt>
                <c:pt idx="49">
                  <c:v>0.19308600000000001</c:v>
                </c:pt>
                <c:pt idx="50">
                  <c:v>0.18962699999999999</c:v>
                </c:pt>
                <c:pt idx="51">
                  <c:v>0.18801000000000001</c:v>
                </c:pt>
                <c:pt idx="52">
                  <c:v>0.187304</c:v>
                </c:pt>
                <c:pt idx="53">
                  <c:v>0.18701499999999999</c:v>
                </c:pt>
                <c:pt idx="54">
                  <c:v>0.18690399999999999</c:v>
                </c:pt>
                <c:pt idx="55">
                  <c:v>0.186864</c:v>
                </c:pt>
                <c:pt idx="56">
                  <c:v>0.18685099999999999</c:v>
                </c:pt>
                <c:pt idx="57">
                  <c:v>0.18684700000000001</c:v>
                </c:pt>
                <c:pt idx="58">
                  <c:v>0.18684500000000001</c:v>
                </c:pt>
                <c:pt idx="59">
                  <c:v>0.18684500000000001</c:v>
                </c:pt>
                <c:pt idx="60">
                  <c:v>0.18684500000000001</c:v>
                </c:pt>
                <c:pt idx="61">
                  <c:v>0.18684500000000001</c:v>
                </c:pt>
                <c:pt idx="62">
                  <c:v>0.18684500000000001</c:v>
                </c:pt>
                <c:pt idx="63">
                  <c:v>0.18684500000000001</c:v>
                </c:pt>
                <c:pt idx="64">
                  <c:v>0.18684500000000001</c:v>
                </c:pt>
                <c:pt idx="65">
                  <c:v>0.18684500000000001</c:v>
                </c:pt>
                <c:pt idx="66">
                  <c:v>0.18684500000000001</c:v>
                </c:pt>
                <c:pt idx="67">
                  <c:v>0.18684500000000001</c:v>
                </c:pt>
                <c:pt idx="68">
                  <c:v>0.18684500000000001</c:v>
                </c:pt>
                <c:pt idx="69">
                  <c:v>0.18684500000000001</c:v>
                </c:pt>
                <c:pt idx="70">
                  <c:v>0.18684500000000001</c:v>
                </c:pt>
                <c:pt idx="71">
                  <c:v>0.18684500000000001</c:v>
                </c:pt>
                <c:pt idx="72">
                  <c:v>0.18684500000000001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Len_Sel_D!#REF!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Len_Sel_D!$F$2:$BZ$2</c:f>
              <c:numCache>
                <c:formatCode>0.00E+00</c:formatCode>
                <c:ptCount val="73"/>
                <c:pt idx="0">
                  <c:v>1.5</c:v>
                </c:pt>
                <c:pt idx="1">
                  <c:v>2.5</c:v>
                </c:pt>
                <c:pt idx="2">
                  <c:v>3.5</c:v>
                </c:pt>
                <c:pt idx="3">
                  <c:v>4.5</c:v>
                </c:pt>
                <c:pt idx="4">
                  <c:v>5.5</c:v>
                </c:pt>
                <c:pt idx="5">
                  <c:v>6.5</c:v>
                </c:pt>
                <c:pt idx="6">
                  <c:v>7.5</c:v>
                </c:pt>
                <c:pt idx="7">
                  <c:v>8.5</c:v>
                </c:pt>
                <c:pt idx="8">
                  <c:v>9.5</c:v>
                </c:pt>
                <c:pt idx="9" formatCode="General">
                  <c:v>10.5</c:v>
                </c:pt>
                <c:pt idx="10" formatCode="General">
                  <c:v>11.5</c:v>
                </c:pt>
                <c:pt idx="11" formatCode="General">
                  <c:v>12.5</c:v>
                </c:pt>
                <c:pt idx="12" formatCode="General">
                  <c:v>13.5</c:v>
                </c:pt>
                <c:pt idx="13" formatCode="General">
                  <c:v>14.5</c:v>
                </c:pt>
                <c:pt idx="14" formatCode="General">
                  <c:v>15.5</c:v>
                </c:pt>
                <c:pt idx="15" formatCode="General">
                  <c:v>16.5</c:v>
                </c:pt>
                <c:pt idx="16" formatCode="General">
                  <c:v>17.5</c:v>
                </c:pt>
                <c:pt idx="17" formatCode="General">
                  <c:v>18.5</c:v>
                </c:pt>
                <c:pt idx="18" formatCode="General">
                  <c:v>19.5</c:v>
                </c:pt>
                <c:pt idx="19" formatCode="General">
                  <c:v>20.5</c:v>
                </c:pt>
                <c:pt idx="20" formatCode="General">
                  <c:v>21.5</c:v>
                </c:pt>
                <c:pt idx="21" formatCode="General">
                  <c:v>22.5</c:v>
                </c:pt>
                <c:pt idx="22" formatCode="General">
                  <c:v>23.5</c:v>
                </c:pt>
                <c:pt idx="23" formatCode="General">
                  <c:v>24.5</c:v>
                </c:pt>
                <c:pt idx="24" formatCode="General">
                  <c:v>25.5</c:v>
                </c:pt>
                <c:pt idx="25" formatCode="General">
                  <c:v>26.5</c:v>
                </c:pt>
                <c:pt idx="26" formatCode="General">
                  <c:v>27.5</c:v>
                </c:pt>
                <c:pt idx="27" formatCode="General">
                  <c:v>28.5</c:v>
                </c:pt>
                <c:pt idx="28" formatCode="General">
                  <c:v>29.5</c:v>
                </c:pt>
                <c:pt idx="29" formatCode="General">
                  <c:v>30.5</c:v>
                </c:pt>
                <c:pt idx="30" formatCode="General">
                  <c:v>31.5</c:v>
                </c:pt>
                <c:pt idx="31" formatCode="General">
                  <c:v>32.5</c:v>
                </c:pt>
                <c:pt idx="32" formatCode="General">
                  <c:v>33.5</c:v>
                </c:pt>
                <c:pt idx="33" formatCode="General">
                  <c:v>34.5</c:v>
                </c:pt>
                <c:pt idx="34" formatCode="General">
                  <c:v>35.5</c:v>
                </c:pt>
                <c:pt idx="35" formatCode="General">
                  <c:v>36.5</c:v>
                </c:pt>
                <c:pt idx="36" formatCode="General">
                  <c:v>37.5</c:v>
                </c:pt>
                <c:pt idx="37" formatCode="General">
                  <c:v>38.5</c:v>
                </c:pt>
                <c:pt idx="38" formatCode="General">
                  <c:v>39.5</c:v>
                </c:pt>
                <c:pt idx="39" formatCode="General">
                  <c:v>41</c:v>
                </c:pt>
                <c:pt idx="40" formatCode="General">
                  <c:v>43</c:v>
                </c:pt>
                <c:pt idx="41" formatCode="General">
                  <c:v>45</c:v>
                </c:pt>
                <c:pt idx="42" formatCode="General">
                  <c:v>47</c:v>
                </c:pt>
                <c:pt idx="43" formatCode="General">
                  <c:v>49</c:v>
                </c:pt>
                <c:pt idx="44" formatCode="General">
                  <c:v>51</c:v>
                </c:pt>
                <c:pt idx="45" formatCode="General">
                  <c:v>53</c:v>
                </c:pt>
                <c:pt idx="46" formatCode="General">
                  <c:v>55</c:v>
                </c:pt>
                <c:pt idx="47" formatCode="General">
                  <c:v>57</c:v>
                </c:pt>
                <c:pt idx="48" formatCode="General">
                  <c:v>59</c:v>
                </c:pt>
                <c:pt idx="49" formatCode="General">
                  <c:v>61</c:v>
                </c:pt>
                <c:pt idx="50" formatCode="General">
                  <c:v>63</c:v>
                </c:pt>
                <c:pt idx="51" formatCode="General">
                  <c:v>65</c:v>
                </c:pt>
                <c:pt idx="52" formatCode="General">
                  <c:v>67</c:v>
                </c:pt>
                <c:pt idx="53" formatCode="General">
                  <c:v>69</c:v>
                </c:pt>
                <c:pt idx="54" formatCode="General">
                  <c:v>71</c:v>
                </c:pt>
                <c:pt idx="55" formatCode="General">
                  <c:v>73</c:v>
                </c:pt>
                <c:pt idx="56" formatCode="General">
                  <c:v>75</c:v>
                </c:pt>
                <c:pt idx="57" formatCode="General">
                  <c:v>77</c:v>
                </c:pt>
                <c:pt idx="58" formatCode="General">
                  <c:v>79</c:v>
                </c:pt>
                <c:pt idx="59" formatCode="General">
                  <c:v>81</c:v>
                </c:pt>
                <c:pt idx="60" formatCode="General">
                  <c:v>83</c:v>
                </c:pt>
                <c:pt idx="61" formatCode="General">
                  <c:v>85</c:v>
                </c:pt>
                <c:pt idx="62" formatCode="General">
                  <c:v>87</c:v>
                </c:pt>
                <c:pt idx="63" formatCode="General">
                  <c:v>89</c:v>
                </c:pt>
                <c:pt idx="64" formatCode="General">
                  <c:v>91</c:v>
                </c:pt>
                <c:pt idx="65" formatCode="General">
                  <c:v>93</c:v>
                </c:pt>
                <c:pt idx="66" formatCode="General">
                  <c:v>95</c:v>
                </c:pt>
                <c:pt idx="67" formatCode="General">
                  <c:v>97</c:v>
                </c:pt>
                <c:pt idx="68" formatCode="General">
                  <c:v>99</c:v>
                </c:pt>
                <c:pt idx="69" formatCode="General">
                  <c:v>105</c:v>
                </c:pt>
                <c:pt idx="70" formatCode="General">
                  <c:v>115</c:v>
                </c:pt>
                <c:pt idx="71" formatCode="General">
                  <c:v>125</c:v>
                </c:pt>
                <c:pt idx="72" formatCode="General">
                  <c:v>135</c:v>
                </c:pt>
              </c:numCache>
            </c:numRef>
          </c:xVal>
          <c:yVal>
            <c:numRef>
              <c:f>Len_Sel_D!#REF!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Len_Sel_D!#REF!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Len_Sel_D!$F$2:$BZ$2</c:f>
              <c:numCache>
                <c:formatCode>0.00E+00</c:formatCode>
                <c:ptCount val="73"/>
                <c:pt idx="0">
                  <c:v>1.5</c:v>
                </c:pt>
                <c:pt idx="1">
                  <c:v>2.5</c:v>
                </c:pt>
                <c:pt idx="2">
                  <c:v>3.5</c:v>
                </c:pt>
                <c:pt idx="3">
                  <c:v>4.5</c:v>
                </c:pt>
                <c:pt idx="4">
                  <c:v>5.5</c:v>
                </c:pt>
                <c:pt idx="5">
                  <c:v>6.5</c:v>
                </c:pt>
                <c:pt idx="6">
                  <c:v>7.5</c:v>
                </c:pt>
                <c:pt idx="7">
                  <c:v>8.5</c:v>
                </c:pt>
                <c:pt idx="8">
                  <c:v>9.5</c:v>
                </c:pt>
                <c:pt idx="9" formatCode="General">
                  <c:v>10.5</c:v>
                </c:pt>
                <c:pt idx="10" formatCode="General">
                  <c:v>11.5</c:v>
                </c:pt>
                <c:pt idx="11" formatCode="General">
                  <c:v>12.5</c:v>
                </c:pt>
                <c:pt idx="12" formatCode="General">
                  <c:v>13.5</c:v>
                </c:pt>
                <c:pt idx="13" formatCode="General">
                  <c:v>14.5</c:v>
                </c:pt>
                <c:pt idx="14" formatCode="General">
                  <c:v>15.5</c:v>
                </c:pt>
                <c:pt idx="15" formatCode="General">
                  <c:v>16.5</c:v>
                </c:pt>
                <c:pt idx="16" formatCode="General">
                  <c:v>17.5</c:v>
                </c:pt>
                <c:pt idx="17" formatCode="General">
                  <c:v>18.5</c:v>
                </c:pt>
                <c:pt idx="18" formatCode="General">
                  <c:v>19.5</c:v>
                </c:pt>
                <c:pt idx="19" formatCode="General">
                  <c:v>20.5</c:v>
                </c:pt>
                <c:pt idx="20" formatCode="General">
                  <c:v>21.5</c:v>
                </c:pt>
                <c:pt idx="21" formatCode="General">
                  <c:v>22.5</c:v>
                </c:pt>
                <c:pt idx="22" formatCode="General">
                  <c:v>23.5</c:v>
                </c:pt>
                <c:pt idx="23" formatCode="General">
                  <c:v>24.5</c:v>
                </c:pt>
                <c:pt idx="24" formatCode="General">
                  <c:v>25.5</c:v>
                </c:pt>
                <c:pt idx="25" formatCode="General">
                  <c:v>26.5</c:v>
                </c:pt>
                <c:pt idx="26" formatCode="General">
                  <c:v>27.5</c:v>
                </c:pt>
                <c:pt idx="27" formatCode="General">
                  <c:v>28.5</c:v>
                </c:pt>
                <c:pt idx="28" formatCode="General">
                  <c:v>29.5</c:v>
                </c:pt>
                <c:pt idx="29" formatCode="General">
                  <c:v>30.5</c:v>
                </c:pt>
                <c:pt idx="30" formatCode="General">
                  <c:v>31.5</c:v>
                </c:pt>
                <c:pt idx="31" formatCode="General">
                  <c:v>32.5</c:v>
                </c:pt>
                <c:pt idx="32" formatCode="General">
                  <c:v>33.5</c:v>
                </c:pt>
                <c:pt idx="33" formatCode="General">
                  <c:v>34.5</c:v>
                </c:pt>
                <c:pt idx="34" formatCode="General">
                  <c:v>35.5</c:v>
                </c:pt>
                <c:pt idx="35" formatCode="General">
                  <c:v>36.5</c:v>
                </c:pt>
                <c:pt idx="36" formatCode="General">
                  <c:v>37.5</c:v>
                </c:pt>
                <c:pt idx="37" formatCode="General">
                  <c:v>38.5</c:v>
                </c:pt>
                <c:pt idx="38" formatCode="General">
                  <c:v>39.5</c:v>
                </c:pt>
                <c:pt idx="39" formatCode="General">
                  <c:v>41</c:v>
                </c:pt>
                <c:pt idx="40" formatCode="General">
                  <c:v>43</c:v>
                </c:pt>
                <c:pt idx="41" formatCode="General">
                  <c:v>45</c:v>
                </c:pt>
                <c:pt idx="42" formatCode="General">
                  <c:v>47</c:v>
                </c:pt>
                <c:pt idx="43" formatCode="General">
                  <c:v>49</c:v>
                </c:pt>
                <c:pt idx="44" formatCode="General">
                  <c:v>51</c:v>
                </c:pt>
                <c:pt idx="45" formatCode="General">
                  <c:v>53</c:v>
                </c:pt>
                <c:pt idx="46" formatCode="General">
                  <c:v>55</c:v>
                </c:pt>
                <c:pt idx="47" formatCode="General">
                  <c:v>57</c:v>
                </c:pt>
                <c:pt idx="48" formatCode="General">
                  <c:v>59</c:v>
                </c:pt>
                <c:pt idx="49" formatCode="General">
                  <c:v>61</c:v>
                </c:pt>
                <c:pt idx="50" formatCode="General">
                  <c:v>63</c:v>
                </c:pt>
                <c:pt idx="51" formatCode="General">
                  <c:v>65</c:v>
                </c:pt>
                <c:pt idx="52" formatCode="General">
                  <c:v>67</c:v>
                </c:pt>
                <c:pt idx="53" formatCode="General">
                  <c:v>69</c:v>
                </c:pt>
                <c:pt idx="54" formatCode="General">
                  <c:v>71</c:v>
                </c:pt>
                <c:pt idx="55" formatCode="General">
                  <c:v>73</c:v>
                </c:pt>
                <c:pt idx="56" formatCode="General">
                  <c:v>75</c:v>
                </c:pt>
                <c:pt idx="57" formatCode="General">
                  <c:v>77</c:v>
                </c:pt>
                <c:pt idx="58" formatCode="General">
                  <c:v>79</c:v>
                </c:pt>
                <c:pt idx="59" formatCode="General">
                  <c:v>81</c:v>
                </c:pt>
                <c:pt idx="60" formatCode="General">
                  <c:v>83</c:v>
                </c:pt>
                <c:pt idx="61" formatCode="General">
                  <c:v>85</c:v>
                </c:pt>
                <c:pt idx="62" formatCode="General">
                  <c:v>87</c:v>
                </c:pt>
                <c:pt idx="63" formatCode="General">
                  <c:v>89</c:v>
                </c:pt>
                <c:pt idx="64" formatCode="General">
                  <c:v>91</c:v>
                </c:pt>
                <c:pt idx="65" formatCode="General">
                  <c:v>93</c:v>
                </c:pt>
                <c:pt idx="66" formatCode="General">
                  <c:v>95</c:v>
                </c:pt>
                <c:pt idx="67" formatCode="General">
                  <c:v>97</c:v>
                </c:pt>
                <c:pt idx="68" formatCode="General">
                  <c:v>99</c:v>
                </c:pt>
                <c:pt idx="69" formatCode="General">
                  <c:v>105</c:v>
                </c:pt>
                <c:pt idx="70" formatCode="General">
                  <c:v>115</c:v>
                </c:pt>
                <c:pt idx="71" formatCode="General">
                  <c:v>125</c:v>
                </c:pt>
                <c:pt idx="72" formatCode="General">
                  <c:v>135</c:v>
                </c:pt>
              </c:numCache>
            </c:numRef>
          </c:xVal>
          <c:yVal>
            <c:numRef>
              <c:f>Len_Sel_D!#REF!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Len_Sel_D!#REF!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Len_Sel_D!$F$2:$BZ$2</c:f>
              <c:numCache>
                <c:formatCode>0.00E+00</c:formatCode>
                <c:ptCount val="73"/>
                <c:pt idx="0">
                  <c:v>1.5</c:v>
                </c:pt>
                <c:pt idx="1">
                  <c:v>2.5</c:v>
                </c:pt>
                <c:pt idx="2">
                  <c:v>3.5</c:v>
                </c:pt>
                <c:pt idx="3">
                  <c:v>4.5</c:v>
                </c:pt>
                <c:pt idx="4">
                  <c:v>5.5</c:v>
                </c:pt>
                <c:pt idx="5">
                  <c:v>6.5</c:v>
                </c:pt>
                <c:pt idx="6">
                  <c:v>7.5</c:v>
                </c:pt>
                <c:pt idx="7">
                  <c:v>8.5</c:v>
                </c:pt>
                <c:pt idx="8">
                  <c:v>9.5</c:v>
                </c:pt>
                <c:pt idx="9" formatCode="General">
                  <c:v>10.5</c:v>
                </c:pt>
                <c:pt idx="10" formatCode="General">
                  <c:v>11.5</c:v>
                </c:pt>
                <c:pt idx="11" formatCode="General">
                  <c:v>12.5</c:v>
                </c:pt>
                <c:pt idx="12" formatCode="General">
                  <c:v>13.5</c:v>
                </c:pt>
                <c:pt idx="13" formatCode="General">
                  <c:v>14.5</c:v>
                </c:pt>
                <c:pt idx="14" formatCode="General">
                  <c:v>15.5</c:v>
                </c:pt>
                <c:pt idx="15" formatCode="General">
                  <c:v>16.5</c:v>
                </c:pt>
                <c:pt idx="16" formatCode="General">
                  <c:v>17.5</c:v>
                </c:pt>
                <c:pt idx="17" formatCode="General">
                  <c:v>18.5</c:v>
                </c:pt>
                <c:pt idx="18" formatCode="General">
                  <c:v>19.5</c:v>
                </c:pt>
                <c:pt idx="19" formatCode="General">
                  <c:v>20.5</c:v>
                </c:pt>
                <c:pt idx="20" formatCode="General">
                  <c:v>21.5</c:v>
                </c:pt>
                <c:pt idx="21" formatCode="General">
                  <c:v>22.5</c:v>
                </c:pt>
                <c:pt idx="22" formatCode="General">
                  <c:v>23.5</c:v>
                </c:pt>
                <c:pt idx="23" formatCode="General">
                  <c:v>24.5</c:v>
                </c:pt>
                <c:pt idx="24" formatCode="General">
                  <c:v>25.5</c:v>
                </c:pt>
                <c:pt idx="25" formatCode="General">
                  <c:v>26.5</c:v>
                </c:pt>
                <c:pt idx="26" formatCode="General">
                  <c:v>27.5</c:v>
                </c:pt>
                <c:pt idx="27" formatCode="General">
                  <c:v>28.5</c:v>
                </c:pt>
                <c:pt idx="28" formatCode="General">
                  <c:v>29.5</c:v>
                </c:pt>
                <c:pt idx="29" formatCode="General">
                  <c:v>30.5</c:v>
                </c:pt>
                <c:pt idx="30" formatCode="General">
                  <c:v>31.5</c:v>
                </c:pt>
                <c:pt idx="31" formatCode="General">
                  <c:v>32.5</c:v>
                </c:pt>
                <c:pt idx="32" formatCode="General">
                  <c:v>33.5</c:v>
                </c:pt>
                <c:pt idx="33" formatCode="General">
                  <c:v>34.5</c:v>
                </c:pt>
                <c:pt idx="34" formatCode="General">
                  <c:v>35.5</c:v>
                </c:pt>
                <c:pt idx="35" formatCode="General">
                  <c:v>36.5</c:v>
                </c:pt>
                <c:pt idx="36" formatCode="General">
                  <c:v>37.5</c:v>
                </c:pt>
                <c:pt idx="37" formatCode="General">
                  <c:v>38.5</c:v>
                </c:pt>
                <c:pt idx="38" formatCode="General">
                  <c:v>39.5</c:v>
                </c:pt>
                <c:pt idx="39" formatCode="General">
                  <c:v>41</c:v>
                </c:pt>
                <c:pt idx="40" formatCode="General">
                  <c:v>43</c:v>
                </c:pt>
                <c:pt idx="41" formatCode="General">
                  <c:v>45</c:v>
                </c:pt>
                <c:pt idx="42" formatCode="General">
                  <c:v>47</c:v>
                </c:pt>
                <c:pt idx="43" formatCode="General">
                  <c:v>49</c:v>
                </c:pt>
                <c:pt idx="44" formatCode="General">
                  <c:v>51</c:v>
                </c:pt>
                <c:pt idx="45" formatCode="General">
                  <c:v>53</c:v>
                </c:pt>
                <c:pt idx="46" formatCode="General">
                  <c:v>55</c:v>
                </c:pt>
                <c:pt idx="47" formatCode="General">
                  <c:v>57</c:v>
                </c:pt>
                <c:pt idx="48" formatCode="General">
                  <c:v>59</c:v>
                </c:pt>
                <c:pt idx="49" formatCode="General">
                  <c:v>61</c:v>
                </c:pt>
                <c:pt idx="50" formatCode="General">
                  <c:v>63</c:v>
                </c:pt>
                <c:pt idx="51" formatCode="General">
                  <c:v>65</c:v>
                </c:pt>
                <c:pt idx="52" formatCode="General">
                  <c:v>67</c:v>
                </c:pt>
                <c:pt idx="53" formatCode="General">
                  <c:v>69</c:v>
                </c:pt>
                <c:pt idx="54" formatCode="General">
                  <c:v>71</c:v>
                </c:pt>
                <c:pt idx="55" formatCode="General">
                  <c:v>73</c:v>
                </c:pt>
                <c:pt idx="56" formatCode="General">
                  <c:v>75</c:v>
                </c:pt>
                <c:pt idx="57" formatCode="General">
                  <c:v>77</c:v>
                </c:pt>
                <c:pt idx="58" formatCode="General">
                  <c:v>79</c:v>
                </c:pt>
                <c:pt idx="59" formatCode="General">
                  <c:v>81</c:v>
                </c:pt>
                <c:pt idx="60" formatCode="General">
                  <c:v>83</c:v>
                </c:pt>
                <c:pt idx="61" formatCode="General">
                  <c:v>85</c:v>
                </c:pt>
                <c:pt idx="62" formatCode="General">
                  <c:v>87</c:v>
                </c:pt>
                <c:pt idx="63" formatCode="General">
                  <c:v>89</c:v>
                </c:pt>
                <c:pt idx="64" formatCode="General">
                  <c:v>91</c:v>
                </c:pt>
                <c:pt idx="65" formatCode="General">
                  <c:v>93</c:v>
                </c:pt>
                <c:pt idx="66" formatCode="General">
                  <c:v>95</c:v>
                </c:pt>
                <c:pt idx="67" formatCode="General">
                  <c:v>97</c:v>
                </c:pt>
                <c:pt idx="68" formatCode="General">
                  <c:v>99</c:v>
                </c:pt>
                <c:pt idx="69" formatCode="General">
                  <c:v>105</c:v>
                </c:pt>
                <c:pt idx="70" formatCode="General">
                  <c:v>115</c:v>
                </c:pt>
                <c:pt idx="71" formatCode="General">
                  <c:v>125</c:v>
                </c:pt>
                <c:pt idx="72" formatCode="General">
                  <c:v>135</c:v>
                </c:pt>
              </c:numCache>
            </c:numRef>
          </c:xVal>
          <c:yVal>
            <c:numRef>
              <c:f>Len_Sel_D!#REF!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Len_Sel_D!#REF!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Len_Sel_D!$F$2:$BZ$2</c:f>
              <c:numCache>
                <c:formatCode>0.00E+00</c:formatCode>
                <c:ptCount val="73"/>
                <c:pt idx="0">
                  <c:v>1.5</c:v>
                </c:pt>
                <c:pt idx="1">
                  <c:v>2.5</c:v>
                </c:pt>
                <c:pt idx="2">
                  <c:v>3.5</c:v>
                </c:pt>
                <c:pt idx="3">
                  <c:v>4.5</c:v>
                </c:pt>
                <c:pt idx="4">
                  <c:v>5.5</c:v>
                </c:pt>
                <c:pt idx="5">
                  <c:v>6.5</c:v>
                </c:pt>
                <c:pt idx="6">
                  <c:v>7.5</c:v>
                </c:pt>
                <c:pt idx="7">
                  <c:v>8.5</c:v>
                </c:pt>
                <c:pt idx="8">
                  <c:v>9.5</c:v>
                </c:pt>
                <c:pt idx="9" formatCode="General">
                  <c:v>10.5</c:v>
                </c:pt>
                <c:pt idx="10" formatCode="General">
                  <c:v>11.5</c:v>
                </c:pt>
                <c:pt idx="11" formatCode="General">
                  <c:v>12.5</c:v>
                </c:pt>
                <c:pt idx="12" formatCode="General">
                  <c:v>13.5</c:v>
                </c:pt>
                <c:pt idx="13" formatCode="General">
                  <c:v>14.5</c:v>
                </c:pt>
                <c:pt idx="14" formatCode="General">
                  <c:v>15.5</c:v>
                </c:pt>
                <c:pt idx="15" formatCode="General">
                  <c:v>16.5</c:v>
                </c:pt>
                <c:pt idx="16" formatCode="General">
                  <c:v>17.5</c:v>
                </c:pt>
                <c:pt idx="17" formatCode="General">
                  <c:v>18.5</c:v>
                </c:pt>
                <c:pt idx="18" formatCode="General">
                  <c:v>19.5</c:v>
                </c:pt>
                <c:pt idx="19" formatCode="General">
                  <c:v>20.5</c:v>
                </c:pt>
                <c:pt idx="20" formatCode="General">
                  <c:v>21.5</c:v>
                </c:pt>
                <c:pt idx="21" formatCode="General">
                  <c:v>22.5</c:v>
                </c:pt>
                <c:pt idx="22" formatCode="General">
                  <c:v>23.5</c:v>
                </c:pt>
                <c:pt idx="23" formatCode="General">
                  <c:v>24.5</c:v>
                </c:pt>
                <c:pt idx="24" formatCode="General">
                  <c:v>25.5</c:v>
                </c:pt>
                <c:pt idx="25" formatCode="General">
                  <c:v>26.5</c:v>
                </c:pt>
                <c:pt idx="26" formatCode="General">
                  <c:v>27.5</c:v>
                </c:pt>
                <c:pt idx="27" formatCode="General">
                  <c:v>28.5</c:v>
                </c:pt>
                <c:pt idx="28" formatCode="General">
                  <c:v>29.5</c:v>
                </c:pt>
                <c:pt idx="29" formatCode="General">
                  <c:v>30.5</c:v>
                </c:pt>
                <c:pt idx="30" formatCode="General">
                  <c:v>31.5</c:v>
                </c:pt>
                <c:pt idx="31" formatCode="General">
                  <c:v>32.5</c:v>
                </c:pt>
                <c:pt idx="32" formatCode="General">
                  <c:v>33.5</c:v>
                </c:pt>
                <c:pt idx="33" formatCode="General">
                  <c:v>34.5</c:v>
                </c:pt>
                <c:pt idx="34" formatCode="General">
                  <c:v>35.5</c:v>
                </c:pt>
                <c:pt idx="35" formatCode="General">
                  <c:v>36.5</c:v>
                </c:pt>
                <c:pt idx="36" formatCode="General">
                  <c:v>37.5</c:v>
                </c:pt>
                <c:pt idx="37" formatCode="General">
                  <c:v>38.5</c:v>
                </c:pt>
                <c:pt idx="38" formatCode="General">
                  <c:v>39.5</c:v>
                </c:pt>
                <c:pt idx="39" formatCode="General">
                  <c:v>41</c:v>
                </c:pt>
                <c:pt idx="40" formatCode="General">
                  <c:v>43</c:v>
                </c:pt>
                <c:pt idx="41" formatCode="General">
                  <c:v>45</c:v>
                </c:pt>
                <c:pt idx="42" formatCode="General">
                  <c:v>47</c:v>
                </c:pt>
                <c:pt idx="43" formatCode="General">
                  <c:v>49</c:v>
                </c:pt>
                <c:pt idx="44" formatCode="General">
                  <c:v>51</c:v>
                </c:pt>
                <c:pt idx="45" formatCode="General">
                  <c:v>53</c:v>
                </c:pt>
                <c:pt idx="46" formatCode="General">
                  <c:v>55</c:v>
                </c:pt>
                <c:pt idx="47" formatCode="General">
                  <c:v>57</c:v>
                </c:pt>
                <c:pt idx="48" formatCode="General">
                  <c:v>59</c:v>
                </c:pt>
                <c:pt idx="49" formatCode="General">
                  <c:v>61</c:v>
                </c:pt>
                <c:pt idx="50" formatCode="General">
                  <c:v>63</c:v>
                </c:pt>
                <c:pt idx="51" formatCode="General">
                  <c:v>65</c:v>
                </c:pt>
                <c:pt idx="52" formatCode="General">
                  <c:v>67</c:v>
                </c:pt>
                <c:pt idx="53" formatCode="General">
                  <c:v>69</c:v>
                </c:pt>
                <c:pt idx="54" formatCode="General">
                  <c:v>71</c:v>
                </c:pt>
                <c:pt idx="55" formatCode="General">
                  <c:v>73</c:v>
                </c:pt>
                <c:pt idx="56" formatCode="General">
                  <c:v>75</c:v>
                </c:pt>
                <c:pt idx="57" formatCode="General">
                  <c:v>77</c:v>
                </c:pt>
                <c:pt idx="58" formatCode="General">
                  <c:v>79</c:v>
                </c:pt>
                <c:pt idx="59" formatCode="General">
                  <c:v>81</c:v>
                </c:pt>
                <c:pt idx="60" formatCode="General">
                  <c:v>83</c:v>
                </c:pt>
                <c:pt idx="61" formatCode="General">
                  <c:v>85</c:v>
                </c:pt>
                <c:pt idx="62" formatCode="General">
                  <c:v>87</c:v>
                </c:pt>
                <c:pt idx="63" formatCode="General">
                  <c:v>89</c:v>
                </c:pt>
                <c:pt idx="64" formatCode="General">
                  <c:v>91</c:v>
                </c:pt>
                <c:pt idx="65" formatCode="General">
                  <c:v>93</c:v>
                </c:pt>
                <c:pt idx="66" formatCode="General">
                  <c:v>95</c:v>
                </c:pt>
                <c:pt idx="67" formatCode="General">
                  <c:v>97</c:v>
                </c:pt>
                <c:pt idx="68" formatCode="General">
                  <c:v>99</c:v>
                </c:pt>
                <c:pt idx="69" formatCode="General">
                  <c:v>105</c:v>
                </c:pt>
                <c:pt idx="70" formatCode="General">
                  <c:v>115</c:v>
                </c:pt>
                <c:pt idx="71" formatCode="General">
                  <c:v>125</c:v>
                </c:pt>
                <c:pt idx="72" formatCode="General">
                  <c:v>135</c:v>
                </c:pt>
              </c:numCache>
            </c:numRef>
          </c:xVal>
          <c:yVal>
            <c:numRef>
              <c:f>Len_Sel_D!#REF!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Len_Sel_D!#REF!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Len_Sel_D!$F$2:$BZ$2</c:f>
              <c:numCache>
                <c:formatCode>0.00E+00</c:formatCode>
                <c:ptCount val="73"/>
                <c:pt idx="0">
                  <c:v>1.5</c:v>
                </c:pt>
                <c:pt idx="1">
                  <c:v>2.5</c:v>
                </c:pt>
                <c:pt idx="2">
                  <c:v>3.5</c:v>
                </c:pt>
                <c:pt idx="3">
                  <c:v>4.5</c:v>
                </c:pt>
                <c:pt idx="4">
                  <c:v>5.5</c:v>
                </c:pt>
                <c:pt idx="5">
                  <c:v>6.5</c:v>
                </c:pt>
                <c:pt idx="6">
                  <c:v>7.5</c:v>
                </c:pt>
                <c:pt idx="7">
                  <c:v>8.5</c:v>
                </c:pt>
                <c:pt idx="8">
                  <c:v>9.5</c:v>
                </c:pt>
                <c:pt idx="9" formatCode="General">
                  <c:v>10.5</c:v>
                </c:pt>
                <c:pt idx="10" formatCode="General">
                  <c:v>11.5</c:v>
                </c:pt>
                <c:pt idx="11" formatCode="General">
                  <c:v>12.5</c:v>
                </c:pt>
                <c:pt idx="12" formatCode="General">
                  <c:v>13.5</c:v>
                </c:pt>
                <c:pt idx="13" formatCode="General">
                  <c:v>14.5</c:v>
                </c:pt>
                <c:pt idx="14" formatCode="General">
                  <c:v>15.5</c:v>
                </c:pt>
                <c:pt idx="15" formatCode="General">
                  <c:v>16.5</c:v>
                </c:pt>
                <c:pt idx="16" formatCode="General">
                  <c:v>17.5</c:v>
                </c:pt>
                <c:pt idx="17" formatCode="General">
                  <c:v>18.5</c:v>
                </c:pt>
                <c:pt idx="18" formatCode="General">
                  <c:v>19.5</c:v>
                </c:pt>
                <c:pt idx="19" formatCode="General">
                  <c:v>20.5</c:v>
                </c:pt>
                <c:pt idx="20" formatCode="General">
                  <c:v>21.5</c:v>
                </c:pt>
                <c:pt idx="21" formatCode="General">
                  <c:v>22.5</c:v>
                </c:pt>
                <c:pt idx="22" formatCode="General">
                  <c:v>23.5</c:v>
                </c:pt>
                <c:pt idx="23" formatCode="General">
                  <c:v>24.5</c:v>
                </c:pt>
                <c:pt idx="24" formatCode="General">
                  <c:v>25.5</c:v>
                </c:pt>
                <c:pt idx="25" formatCode="General">
                  <c:v>26.5</c:v>
                </c:pt>
                <c:pt idx="26" formatCode="General">
                  <c:v>27.5</c:v>
                </c:pt>
                <c:pt idx="27" formatCode="General">
                  <c:v>28.5</c:v>
                </c:pt>
                <c:pt idx="28" formatCode="General">
                  <c:v>29.5</c:v>
                </c:pt>
                <c:pt idx="29" formatCode="General">
                  <c:v>30.5</c:v>
                </c:pt>
                <c:pt idx="30" formatCode="General">
                  <c:v>31.5</c:v>
                </c:pt>
                <c:pt idx="31" formatCode="General">
                  <c:v>32.5</c:v>
                </c:pt>
                <c:pt idx="32" formatCode="General">
                  <c:v>33.5</c:v>
                </c:pt>
                <c:pt idx="33" formatCode="General">
                  <c:v>34.5</c:v>
                </c:pt>
                <c:pt idx="34" formatCode="General">
                  <c:v>35.5</c:v>
                </c:pt>
                <c:pt idx="35" formatCode="General">
                  <c:v>36.5</c:v>
                </c:pt>
                <c:pt idx="36" formatCode="General">
                  <c:v>37.5</c:v>
                </c:pt>
                <c:pt idx="37" formatCode="General">
                  <c:v>38.5</c:v>
                </c:pt>
                <c:pt idx="38" formatCode="General">
                  <c:v>39.5</c:v>
                </c:pt>
                <c:pt idx="39" formatCode="General">
                  <c:v>41</c:v>
                </c:pt>
                <c:pt idx="40" formatCode="General">
                  <c:v>43</c:v>
                </c:pt>
                <c:pt idx="41" formatCode="General">
                  <c:v>45</c:v>
                </c:pt>
                <c:pt idx="42" formatCode="General">
                  <c:v>47</c:v>
                </c:pt>
                <c:pt idx="43" formatCode="General">
                  <c:v>49</c:v>
                </c:pt>
                <c:pt idx="44" formatCode="General">
                  <c:v>51</c:v>
                </c:pt>
                <c:pt idx="45" formatCode="General">
                  <c:v>53</c:v>
                </c:pt>
                <c:pt idx="46" formatCode="General">
                  <c:v>55</c:v>
                </c:pt>
                <c:pt idx="47" formatCode="General">
                  <c:v>57</c:v>
                </c:pt>
                <c:pt idx="48" formatCode="General">
                  <c:v>59</c:v>
                </c:pt>
                <c:pt idx="49" formatCode="General">
                  <c:v>61</c:v>
                </c:pt>
                <c:pt idx="50" formatCode="General">
                  <c:v>63</c:v>
                </c:pt>
                <c:pt idx="51" formatCode="General">
                  <c:v>65</c:v>
                </c:pt>
                <c:pt idx="52" formatCode="General">
                  <c:v>67</c:v>
                </c:pt>
                <c:pt idx="53" formatCode="General">
                  <c:v>69</c:v>
                </c:pt>
                <c:pt idx="54" formatCode="General">
                  <c:v>71</c:v>
                </c:pt>
                <c:pt idx="55" formatCode="General">
                  <c:v>73</c:v>
                </c:pt>
                <c:pt idx="56" formatCode="General">
                  <c:v>75</c:v>
                </c:pt>
                <c:pt idx="57" formatCode="General">
                  <c:v>77</c:v>
                </c:pt>
                <c:pt idx="58" formatCode="General">
                  <c:v>79</c:v>
                </c:pt>
                <c:pt idx="59" formatCode="General">
                  <c:v>81</c:v>
                </c:pt>
                <c:pt idx="60" formatCode="General">
                  <c:v>83</c:v>
                </c:pt>
                <c:pt idx="61" formatCode="General">
                  <c:v>85</c:v>
                </c:pt>
                <c:pt idx="62" formatCode="General">
                  <c:v>87</c:v>
                </c:pt>
                <c:pt idx="63" formatCode="General">
                  <c:v>89</c:v>
                </c:pt>
                <c:pt idx="64" formatCode="General">
                  <c:v>91</c:v>
                </c:pt>
                <c:pt idx="65" formatCode="General">
                  <c:v>93</c:v>
                </c:pt>
                <c:pt idx="66" formatCode="General">
                  <c:v>95</c:v>
                </c:pt>
                <c:pt idx="67" formatCode="General">
                  <c:v>97</c:v>
                </c:pt>
                <c:pt idx="68" formatCode="General">
                  <c:v>99</c:v>
                </c:pt>
                <c:pt idx="69" formatCode="General">
                  <c:v>105</c:v>
                </c:pt>
                <c:pt idx="70" formatCode="General">
                  <c:v>115</c:v>
                </c:pt>
                <c:pt idx="71" formatCode="General">
                  <c:v>125</c:v>
                </c:pt>
                <c:pt idx="72" formatCode="General">
                  <c:v>135</c:v>
                </c:pt>
              </c:numCache>
            </c:numRef>
          </c:xVal>
          <c:yVal>
            <c:numRef>
              <c:f>Len_Sel_D!#REF!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Len_Sel_D!#REF!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Len_Sel_D!$F$2:$BZ$2</c:f>
              <c:numCache>
                <c:formatCode>0.00E+00</c:formatCode>
                <c:ptCount val="73"/>
                <c:pt idx="0">
                  <c:v>1.5</c:v>
                </c:pt>
                <c:pt idx="1">
                  <c:v>2.5</c:v>
                </c:pt>
                <c:pt idx="2">
                  <c:v>3.5</c:v>
                </c:pt>
                <c:pt idx="3">
                  <c:v>4.5</c:v>
                </c:pt>
                <c:pt idx="4">
                  <c:v>5.5</c:v>
                </c:pt>
                <c:pt idx="5">
                  <c:v>6.5</c:v>
                </c:pt>
                <c:pt idx="6">
                  <c:v>7.5</c:v>
                </c:pt>
                <c:pt idx="7">
                  <c:v>8.5</c:v>
                </c:pt>
                <c:pt idx="8">
                  <c:v>9.5</c:v>
                </c:pt>
                <c:pt idx="9" formatCode="General">
                  <c:v>10.5</c:v>
                </c:pt>
                <c:pt idx="10" formatCode="General">
                  <c:v>11.5</c:v>
                </c:pt>
                <c:pt idx="11" formatCode="General">
                  <c:v>12.5</c:v>
                </c:pt>
                <c:pt idx="12" formatCode="General">
                  <c:v>13.5</c:v>
                </c:pt>
                <c:pt idx="13" formatCode="General">
                  <c:v>14.5</c:v>
                </c:pt>
                <c:pt idx="14" formatCode="General">
                  <c:v>15.5</c:v>
                </c:pt>
                <c:pt idx="15" formatCode="General">
                  <c:v>16.5</c:v>
                </c:pt>
                <c:pt idx="16" formatCode="General">
                  <c:v>17.5</c:v>
                </c:pt>
                <c:pt idx="17" formatCode="General">
                  <c:v>18.5</c:v>
                </c:pt>
                <c:pt idx="18" formatCode="General">
                  <c:v>19.5</c:v>
                </c:pt>
                <c:pt idx="19" formatCode="General">
                  <c:v>20.5</c:v>
                </c:pt>
                <c:pt idx="20" formatCode="General">
                  <c:v>21.5</c:v>
                </c:pt>
                <c:pt idx="21" formatCode="General">
                  <c:v>22.5</c:v>
                </c:pt>
                <c:pt idx="22" formatCode="General">
                  <c:v>23.5</c:v>
                </c:pt>
                <c:pt idx="23" formatCode="General">
                  <c:v>24.5</c:v>
                </c:pt>
                <c:pt idx="24" formatCode="General">
                  <c:v>25.5</c:v>
                </c:pt>
                <c:pt idx="25" formatCode="General">
                  <c:v>26.5</c:v>
                </c:pt>
                <c:pt idx="26" formatCode="General">
                  <c:v>27.5</c:v>
                </c:pt>
                <c:pt idx="27" formatCode="General">
                  <c:v>28.5</c:v>
                </c:pt>
                <c:pt idx="28" formatCode="General">
                  <c:v>29.5</c:v>
                </c:pt>
                <c:pt idx="29" formatCode="General">
                  <c:v>30.5</c:v>
                </c:pt>
                <c:pt idx="30" formatCode="General">
                  <c:v>31.5</c:v>
                </c:pt>
                <c:pt idx="31" formatCode="General">
                  <c:v>32.5</c:v>
                </c:pt>
                <c:pt idx="32" formatCode="General">
                  <c:v>33.5</c:v>
                </c:pt>
                <c:pt idx="33" formatCode="General">
                  <c:v>34.5</c:v>
                </c:pt>
                <c:pt idx="34" formatCode="General">
                  <c:v>35.5</c:v>
                </c:pt>
                <c:pt idx="35" formatCode="General">
                  <c:v>36.5</c:v>
                </c:pt>
                <c:pt idx="36" formatCode="General">
                  <c:v>37.5</c:v>
                </c:pt>
                <c:pt idx="37" formatCode="General">
                  <c:v>38.5</c:v>
                </c:pt>
                <c:pt idx="38" formatCode="General">
                  <c:v>39.5</c:v>
                </c:pt>
                <c:pt idx="39" formatCode="General">
                  <c:v>41</c:v>
                </c:pt>
                <c:pt idx="40" formatCode="General">
                  <c:v>43</c:v>
                </c:pt>
                <c:pt idx="41" formatCode="General">
                  <c:v>45</c:v>
                </c:pt>
                <c:pt idx="42" formatCode="General">
                  <c:v>47</c:v>
                </c:pt>
                <c:pt idx="43" formatCode="General">
                  <c:v>49</c:v>
                </c:pt>
                <c:pt idx="44" formatCode="General">
                  <c:v>51</c:v>
                </c:pt>
                <c:pt idx="45" formatCode="General">
                  <c:v>53</c:v>
                </c:pt>
                <c:pt idx="46" formatCode="General">
                  <c:v>55</c:v>
                </c:pt>
                <c:pt idx="47" formatCode="General">
                  <c:v>57</c:v>
                </c:pt>
                <c:pt idx="48" formatCode="General">
                  <c:v>59</c:v>
                </c:pt>
                <c:pt idx="49" formatCode="General">
                  <c:v>61</c:v>
                </c:pt>
                <c:pt idx="50" formatCode="General">
                  <c:v>63</c:v>
                </c:pt>
                <c:pt idx="51" formatCode="General">
                  <c:v>65</c:v>
                </c:pt>
                <c:pt idx="52" formatCode="General">
                  <c:v>67</c:v>
                </c:pt>
                <c:pt idx="53" formatCode="General">
                  <c:v>69</c:v>
                </c:pt>
                <c:pt idx="54" formatCode="General">
                  <c:v>71</c:v>
                </c:pt>
                <c:pt idx="55" formatCode="General">
                  <c:v>73</c:v>
                </c:pt>
                <c:pt idx="56" formatCode="General">
                  <c:v>75</c:v>
                </c:pt>
                <c:pt idx="57" formatCode="General">
                  <c:v>77</c:v>
                </c:pt>
                <c:pt idx="58" formatCode="General">
                  <c:v>79</c:v>
                </c:pt>
                <c:pt idx="59" formatCode="General">
                  <c:v>81</c:v>
                </c:pt>
                <c:pt idx="60" formatCode="General">
                  <c:v>83</c:v>
                </c:pt>
                <c:pt idx="61" formatCode="General">
                  <c:v>85</c:v>
                </c:pt>
                <c:pt idx="62" formatCode="General">
                  <c:v>87</c:v>
                </c:pt>
                <c:pt idx="63" formatCode="General">
                  <c:v>89</c:v>
                </c:pt>
                <c:pt idx="64" formatCode="General">
                  <c:v>91</c:v>
                </c:pt>
                <c:pt idx="65" formatCode="General">
                  <c:v>93</c:v>
                </c:pt>
                <c:pt idx="66" formatCode="General">
                  <c:v>95</c:v>
                </c:pt>
                <c:pt idx="67" formatCode="General">
                  <c:v>97</c:v>
                </c:pt>
                <c:pt idx="68" formatCode="General">
                  <c:v>99</c:v>
                </c:pt>
                <c:pt idx="69" formatCode="General">
                  <c:v>105</c:v>
                </c:pt>
                <c:pt idx="70" formatCode="General">
                  <c:v>115</c:v>
                </c:pt>
                <c:pt idx="71" formatCode="General">
                  <c:v>125</c:v>
                </c:pt>
                <c:pt idx="72" formatCode="General">
                  <c:v>135</c:v>
                </c:pt>
              </c:numCache>
            </c:numRef>
          </c:xVal>
          <c:yVal>
            <c:numRef>
              <c:f>Len_Sel_D!#REF!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Len_Sel_D!#REF!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Len_Sel_D!$F$2:$BZ$2</c:f>
              <c:numCache>
                <c:formatCode>0.00E+00</c:formatCode>
                <c:ptCount val="73"/>
                <c:pt idx="0">
                  <c:v>1.5</c:v>
                </c:pt>
                <c:pt idx="1">
                  <c:v>2.5</c:v>
                </c:pt>
                <c:pt idx="2">
                  <c:v>3.5</c:v>
                </c:pt>
                <c:pt idx="3">
                  <c:v>4.5</c:v>
                </c:pt>
                <c:pt idx="4">
                  <c:v>5.5</c:v>
                </c:pt>
                <c:pt idx="5">
                  <c:v>6.5</c:v>
                </c:pt>
                <c:pt idx="6">
                  <c:v>7.5</c:v>
                </c:pt>
                <c:pt idx="7">
                  <c:v>8.5</c:v>
                </c:pt>
                <c:pt idx="8">
                  <c:v>9.5</c:v>
                </c:pt>
                <c:pt idx="9" formatCode="General">
                  <c:v>10.5</c:v>
                </c:pt>
                <c:pt idx="10" formatCode="General">
                  <c:v>11.5</c:v>
                </c:pt>
                <c:pt idx="11" formatCode="General">
                  <c:v>12.5</c:v>
                </c:pt>
                <c:pt idx="12" formatCode="General">
                  <c:v>13.5</c:v>
                </c:pt>
                <c:pt idx="13" formatCode="General">
                  <c:v>14.5</c:v>
                </c:pt>
                <c:pt idx="14" formatCode="General">
                  <c:v>15.5</c:v>
                </c:pt>
                <c:pt idx="15" formatCode="General">
                  <c:v>16.5</c:v>
                </c:pt>
                <c:pt idx="16" formatCode="General">
                  <c:v>17.5</c:v>
                </c:pt>
                <c:pt idx="17" formatCode="General">
                  <c:v>18.5</c:v>
                </c:pt>
                <c:pt idx="18" formatCode="General">
                  <c:v>19.5</c:v>
                </c:pt>
                <c:pt idx="19" formatCode="General">
                  <c:v>20.5</c:v>
                </c:pt>
                <c:pt idx="20" formatCode="General">
                  <c:v>21.5</c:v>
                </c:pt>
                <c:pt idx="21" formatCode="General">
                  <c:v>22.5</c:v>
                </c:pt>
                <c:pt idx="22" formatCode="General">
                  <c:v>23.5</c:v>
                </c:pt>
                <c:pt idx="23" formatCode="General">
                  <c:v>24.5</c:v>
                </c:pt>
                <c:pt idx="24" formatCode="General">
                  <c:v>25.5</c:v>
                </c:pt>
                <c:pt idx="25" formatCode="General">
                  <c:v>26.5</c:v>
                </c:pt>
                <c:pt idx="26" formatCode="General">
                  <c:v>27.5</c:v>
                </c:pt>
                <c:pt idx="27" formatCode="General">
                  <c:v>28.5</c:v>
                </c:pt>
                <c:pt idx="28" formatCode="General">
                  <c:v>29.5</c:v>
                </c:pt>
                <c:pt idx="29" formatCode="General">
                  <c:v>30.5</c:v>
                </c:pt>
                <c:pt idx="30" formatCode="General">
                  <c:v>31.5</c:v>
                </c:pt>
                <c:pt idx="31" formatCode="General">
                  <c:v>32.5</c:v>
                </c:pt>
                <c:pt idx="32" formatCode="General">
                  <c:v>33.5</c:v>
                </c:pt>
                <c:pt idx="33" formatCode="General">
                  <c:v>34.5</c:v>
                </c:pt>
                <c:pt idx="34" formatCode="General">
                  <c:v>35.5</c:v>
                </c:pt>
                <c:pt idx="35" formatCode="General">
                  <c:v>36.5</c:v>
                </c:pt>
                <c:pt idx="36" formatCode="General">
                  <c:v>37.5</c:v>
                </c:pt>
                <c:pt idx="37" formatCode="General">
                  <c:v>38.5</c:v>
                </c:pt>
                <c:pt idx="38" formatCode="General">
                  <c:v>39.5</c:v>
                </c:pt>
                <c:pt idx="39" formatCode="General">
                  <c:v>41</c:v>
                </c:pt>
                <c:pt idx="40" formatCode="General">
                  <c:v>43</c:v>
                </c:pt>
                <c:pt idx="41" formatCode="General">
                  <c:v>45</c:v>
                </c:pt>
                <c:pt idx="42" formatCode="General">
                  <c:v>47</c:v>
                </c:pt>
                <c:pt idx="43" formatCode="General">
                  <c:v>49</c:v>
                </c:pt>
                <c:pt idx="44" formatCode="General">
                  <c:v>51</c:v>
                </c:pt>
                <c:pt idx="45" formatCode="General">
                  <c:v>53</c:v>
                </c:pt>
                <c:pt idx="46" formatCode="General">
                  <c:v>55</c:v>
                </c:pt>
                <c:pt idx="47" formatCode="General">
                  <c:v>57</c:v>
                </c:pt>
                <c:pt idx="48" formatCode="General">
                  <c:v>59</c:v>
                </c:pt>
                <c:pt idx="49" formatCode="General">
                  <c:v>61</c:v>
                </c:pt>
                <c:pt idx="50" formatCode="General">
                  <c:v>63</c:v>
                </c:pt>
                <c:pt idx="51" formatCode="General">
                  <c:v>65</c:v>
                </c:pt>
                <c:pt idx="52" formatCode="General">
                  <c:v>67</c:v>
                </c:pt>
                <c:pt idx="53" formatCode="General">
                  <c:v>69</c:v>
                </c:pt>
                <c:pt idx="54" formatCode="General">
                  <c:v>71</c:v>
                </c:pt>
                <c:pt idx="55" formatCode="General">
                  <c:v>73</c:v>
                </c:pt>
                <c:pt idx="56" formatCode="General">
                  <c:v>75</c:v>
                </c:pt>
                <c:pt idx="57" formatCode="General">
                  <c:v>77</c:v>
                </c:pt>
                <c:pt idx="58" formatCode="General">
                  <c:v>79</c:v>
                </c:pt>
                <c:pt idx="59" formatCode="General">
                  <c:v>81</c:v>
                </c:pt>
                <c:pt idx="60" formatCode="General">
                  <c:v>83</c:v>
                </c:pt>
                <c:pt idx="61" formatCode="General">
                  <c:v>85</c:v>
                </c:pt>
                <c:pt idx="62" formatCode="General">
                  <c:v>87</c:v>
                </c:pt>
                <c:pt idx="63" formatCode="General">
                  <c:v>89</c:v>
                </c:pt>
                <c:pt idx="64" formatCode="General">
                  <c:v>91</c:v>
                </c:pt>
                <c:pt idx="65" formatCode="General">
                  <c:v>93</c:v>
                </c:pt>
                <c:pt idx="66" formatCode="General">
                  <c:v>95</c:v>
                </c:pt>
                <c:pt idx="67" formatCode="General">
                  <c:v>97</c:v>
                </c:pt>
                <c:pt idx="68" formatCode="General">
                  <c:v>99</c:v>
                </c:pt>
                <c:pt idx="69" formatCode="General">
                  <c:v>105</c:v>
                </c:pt>
                <c:pt idx="70" formatCode="General">
                  <c:v>115</c:v>
                </c:pt>
                <c:pt idx="71" formatCode="General">
                  <c:v>125</c:v>
                </c:pt>
                <c:pt idx="72" formatCode="General">
                  <c:v>135</c:v>
                </c:pt>
              </c:numCache>
            </c:numRef>
          </c:xVal>
          <c:yVal>
            <c:numRef>
              <c:f>Len_Sel_D!#REF!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Len_Sel_D!#REF!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Len_Sel_D!$F$2:$BZ$2</c:f>
              <c:numCache>
                <c:formatCode>0.00E+00</c:formatCode>
                <c:ptCount val="73"/>
                <c:pt idx="0">
                  <c:v>1.5</c:v>
                </c:pt>
                <c:pt idx="1">
                  <c:v>2.5</c:v>
                </c:pt>
                <c:pt idx="2">
                  <c:v>3.5</c:v>
                </c:pt>
                <c:pt idx="3">
                  <c:v>4.5</c:v>
                </c:pt>
                <c:pt idx="4">
                  <c:v>5.5</c:v>
                </c:pt>
                <c:pt idx="5">
                  <c:v>6.5</c:v>
                </c:pt>
                <c:pt idx="6">
                  <c:v>7.5</c:v>
                </c:pt>
                <c:pt idx="7">
                  <c:v>8.5</c:v>
                </c:pt>
                <c:pt idx="8">
                  <c:v>9.5</c:v>
                </c:pt>
                <c:pt idx="9" formatCode="General">
                  <c:v>10.5</c:v>
                </c:pt>
                <c:pt idx="10" formatCode="General">
                  <c:v>11.5</c:v>
                </c:pt>
                <c:pt idx="11" formatCode="General">
                  <c:v>12.5</c:v>
                </c:pt>
                <c:pt idx="12" formatCode="General">
                  <c:v>13.5</c:v>
                </c:pt>
                <c:pt idx="13" formatCode="General">
                  <c:v>14.5</c:v>
                </c:pt>
                <c:pt idx="14" formatCode="General">
                  <c:v>15.5</c:v>
                </c:pt>
                <c:pt idx="15" formatCode="General">
                  <c:v>16.5</c:v>
                </c:pt>
                <c:pt idx="16" formatCode="General">
                  <c:v>17.5</c:v>
                </c:pt>
                <c:pt idx="17" formatCode="General">
                  <c:v>18.5</c:v>
                </c:pt>
                <c:pt idx="18" formatCode="General">
                  <c:v>19.5</c:v>
                </c:pt>
                <c:pt idx="19" formatCode="General">
                  <c:v>20.5</c:v>
                </c:pt>
                <c:pt idx="20" formatCode="General">
                  <c:v>21.5</c:v>
                </c:pt>
                <c:pt idx="21" formatCode="General">
                  <c:v>22.5</c:v>
                </c:pt>
                <c:pt idx="22" formatCode="General">
                  <c:v>23.5</c:v>
                </c:pt>
                <c:pt idx="23" formatCode="General">
                  <c:v>24.5</c:v>
                </c:pt>
                <c:pt idx="24" formatCode="General">
                  <c:v>25.5</c:v>
                </c:pt>
                <c:pt idx="25" formatCode="General">
                  <c:v>26.5</c:v>
                </c:pt>
                <c:pt idx="26" formatCode="General">
                  <c:v>27.5</c:v>
                </c:pt>
                <c:pt idx="27" formatCode="General">
                  <c:v>28.5</c:v>
                </c:pt>
                <c:pt idx="28" formatCode="General">
                  <c:v>29.5</c:v>
                </c:pt>
                <c:pt idx="29" formatCode="General">
                  <c:v>30.5</c:v>
                </c:pt>
                <c:pt idx="30" formatCode="General">
                  <c:v>31.5</c:v>
                </c:pt>
                <c:pt idx="31" formatCode="General">
                  <c:v>32.5</c:v>
                </c:pt>
                <c:pt idx="32" formatCode="General">
                  <c:v>33.5</c:v>
                </c:pt>
                <c:pt idx="33" formatCode="General">
                  <c:v>34.5</c:v>
                </c:pt>
                <c:pt idx="34" formatCode="General">
                  <c:v>35.5</c:v>
                </c:pt>
                <c:pt idx="35" formatCode="General">
                  <c:v>36.5</c:v>
                </c:pt>
                <c:pt idx="36" formatCode="General">
                  <c:v>37.5</c:v>
                </c:pt>
                <c:pt idx="37" formatCode="General">
                  <c:v>38.5</c:v>
                </c:pt>
                <c:pt idx="38" formatCode="General">
                  <c:v>39.5</c:v>
                </c:pt>
                <c:pt idx="39" formatCode="General">
                  <c:v>41</c:v>
                </c:pt>
                <c:pt idx="40" formatCode="General">
                  <c:v>43</c:v>
                </c:pt>
                <c:pt idx="41" formatCode="General">
                  <c:v>45</c:v>
                </c:pt>
                <c:pt idx="42" formatCode="General">
                  <c:v>47</c:v>
                </c:pt>
                <c:pt idx="43" formatCode="General">
                  <c:v>49</c:v>
                </c:pt>
                <c:pt idx="44" formatCode="General">
                  <c:v>51</c:v>
                </c:pt>
                <c:pt idx="45" formatCode="General">
                  <c:v>53</c:v>
                </c:pt>
                <c:pt idx="46" formatCode="General">
                  <c:v>55</c:v>
                </c:pt>
                <c:pt idx="47" formatCode="General">
                  <c:v>57</c:v>
                </c:pt>
                <c:pt idx="48" formatCode="General">
                  <c:v>59</c:v>
                </c:pt>
                <c:pt idx="49" formatCode="General">
                  <c:v>61</c:v>
                </c:pt>
                <c:pt idx="50" formatCode="General">
                  <c:v>63</c:v>
                </c:pt>
                <c:pt idx="51" formatCode="General">
                  <c:v>65</c:v>
                </c:pt>
                <c:pt idx="52" formatCode="General">
                  <c:v>67</c:v>
                </c:pt>
                <c:pt idx="53" formatCode="General">
                  <c:v>69</c:v>
                </c:pt>
                <c:pt idx="54" formatCode="General">
                  <c:v>71</c:v>
                </c:pt>
                <c:pt idx="55" formatCode="General">
                  <c:v>73</c:v>
                </c:pt>
                <c:pt idx="56" formatCode="General">
                  <c:v>75</c:v>
                </c:pt>
                <c:pt idx="57" formatCode="General">
                  <c:v>77</c:v>
                </c:pt>
                <c:pt idx="58" formatCode="General">
                  <c:v>79</c:v>
                </c:pt>
                <c:pt idx="59" formatCode="General">
                  <c:v>81</c:v>
                </c:pt>
                <c:pt idx="60" formatCode="General">
                  <c:v>83</c:v>
                </c:pt>
                <c:pt idx="61" formatCode="General">
                  <c:v>85</c:v>
                </c:pt>
                <c:pt idx="62" formatCode="General">
                  <c:v>87</c:v>
                </c:pt>
                <c:pt idx="63" formatCode="General">
                  <c:v>89</c:v>
                </c:pt>
                <c:pt idx="64" formatCode="General">
                  <c:v>91</c:v>
                </c:pt>
                <c:pt idx="65" formatCode="General">
                  <c:v>93</c:v>
                </c:pt>
                <c:pt idx="66" formatCode="General">
                  <c:v>95</c:v>
                </c:pt>
                <c:pt idx="67" formatCode="General">
                  <c:v>97</c:v>
                </c:pt>
                <c:pt idx="68" formatCode="General">
                  <c:v>99</c:v>
                </c:pt>
                <c:pt idx="69" formatCode="General">
                  <c:v>105</c:v>
                </c:pt>
                <c:pt idx="70" formatCode="General">
                  <c:v>115</c:v>
                </c:pt>
                <c:pt idx="71" formatCode="General">
                  <c:v>125</c:v>
                </c:pt>
                <c:pt idx="72" formatCode="General">
                  <c:v>135</c:v>
                </c:pt>
              </c:numCache>
            </c:numRef>
          </c:xVal>
          <c:yVal>
            <c:numRef>
              <c:f>Len_Sel_D!#REF!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Len_Sel_D!#REF!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Len_Sel_D!$F$2:$BZ$2</c:f>
              <c:numCache>
                <c:formatCode>0.00E+00</c:formatCode>
                <c:ptCount val="73"/>
                <c:pt idx="0">
                  <c:v>1.5</c:v>
                </c:pt>
                <c:pt idx="1">
                  <c:v>2.5</c:v>
                </c:pt>
                <c:pt idx="2">
                  <c:v>3.5</c:v>
                </c:pt>
                <c:pt idx="3">
                  <c:v>4.5</c:v>
                </c:pt>
                <c:pt idx="4">
                  <c:v>5.5</c:v>
                </c:pt>
                <c:pt idx="5">
                  <c:v>6.5</c:v>
                </c:pt>
                <c:pt idx="6">
                  <c:v>7.5</c:v>
                </c:pt>
                <c:pt idx="7">
                  <c:v>8.5</c:v>
                </c:pt>
                <c:pt idx="8">
                  <c:v>9.5</c:v>
                </c:pt>
                <c:pt idx="9" formatCode="General">
                  <c:v>10.5</c:v>
                </c:pt>
                <c:pt idx="10" formatCode="General">
                  <c:v>11.5</c:v>
                </c:pt>
                <c:pt idx="11" formatCode="General">
                  <c:v>12.5</c:v>
                </c:pt>
                <c:pt idx="12" formatCode="General">
                  <c:v>13.5</c:v>
                </c:pt>
                <c:pt idx="13" formatCode="General">
                  <c:v>14.5</c:v>
                </c:pt>
                <c:pt idx="14" formatCode="General">
                  <c:v>15.5</c:v>
                </c:pt>
                <c:pt idx="15" formatCode="General">
                  <c:v>16.5</c:v>
                </c:pt>
                <c:pt idx="16" formatCode="General">
                  <c:v>17.5</c:v>
                </c:pt>
                <c:pt idx="17" formatCode="General">
                  <c:v>18.5</c:v>
                </c:pt>
                <c:pt idx="18" formatCode="General">
                  <c:v>19.5</c:v>
                </c:pt>
                <c:pt idx="19" formatCode="General">
                  <c:v>20.5</c:v>
                </c:pt>
                <c:pt idx="20" formatCode="General">
                  <c:v>21.5</c:v>
                </c:pt>
                <c:pt idx="21" formatCode="General">
                  <c:v>22.5</c:v>
                </c:pt>
                <c:pt idx="22" formatCode="General">
                  <c:v>23.5</c:v>
                </c:pt>
                <c:pt idx="23" formatCode="General">
                  <c:v>24.5</c:v>
                </c:pt>
                <c:pt idx="24" formatCode="General">
                  <c:v>25.5</c:v>
                </c:pt>
                <c:pt idx="25" formatCode="General">
                  <c:v>26.5</c:v>
                </c:pt>
                <c:pt idx="26" formatCode="General">
                  <c:v>27.5</c:v>
                </c:pt>
                <c:pt idx="27" formatCode="General">
                  <c:v>28.5</c:v>
                </c:pt>
                <c:pt idx="28" formatCode="General">
                  <c:v>29.5</c:v>
                </c:pt>
                <c:pt idx="29" formatCode="General">
                  <c:v>30.5</c:v>
                </c:pt>
                <c:pt idx="30" formatCode="General">
                  <c:v>31.5</c:v>
                </c:pt>
                <c:pt idx="31" formatCode="General">
                  <c:v>32.5</c:v>
                </c:pt>
                <c:pt idx="32" formatCode="General">
                  <c:v>33.5</c:v>
                </c:pt>
                <c:pt idx="33" formatCode="General">
                  <c:v>34.5</c:v>
                </c:pt>
                <c:pt idx="34" formatCode="General">
                  <c:v>35.5</c:v>
                </c:pt>
                <c:pt idx="35" formatCode="General">
                  <c:v>36.5</c:v>
                </c:pt>
                <c:pt idx="36" formatCode="General">
                  <c:v>37.5</c:v>
                </c:pt>
                <c:pt idx="37" formatCode="General">
                  <c:v>38.5</c:v>
                </c:pt>
                <c:pt idx="38" formatCode="General">
                  <c:v>39.5</c:v>
                </c:pt>
                <c:pt idx="39" formatCode="General">
                  <c:v>41</c:v>
                </c:pt>
                <c:pt idx="40" formatCode="General">
                  <c:v>43</c:v>
                </c:pt>
                <c:pt idx="41" formatCode="General">
                  <c:v>45</c:v>
                </c:pt>
                <c:pt idx="42" formatCode="General">
                  <c:v>47</c:v>
                </c:pt>
                <c:pt idx="43" formatCode="General">
                  <c:v>49</c:v>
                </c:pt>
                <c:pt idx="44" formatCode="General">
                  <c:v>51</c:v>
                </c:pt>
                <c:pt idx="45" formatCode="General">
                  <c:v>53</c:v>
                </c:pt>
                <c:pt idx="46" formatCode="General">
                  <c:v>55</c:v>
                </c:pt>
                <c:pt idx="47" formatCode="General">
                  <c:v>57</c:v>
                </c:pt>
                <c:pt idx="48" formatCode="General">
                  <c:v>59</c:v>
                </c:pt>
                <c:pt idx="49" formatCode="General">
                  <c:v>61</c:v>
                </c:pt>
                <c:pt idx="50" formatCode="General">
                  <c:v>63</c:v>
                </c:pt>
                <c:pt idx="51" formatCode="General">
                  <c:v>65</c:v>
                </c:pt>
                <c:pt idx="52" formatCode="General">
                  <c:v>67</c:v>
                </c:pt>
                <c:pt idx="53" formatCode="General">
                  <c:v>69</c:v>
                </c:pt>
                <c:pt idx="54" formatCode="General">
                  <c:v>71</c:v>
                </c:pt>
                <c:pt idx="55" formatCode="General">
                  <c:v>73</c:v>
                </c:pt>
                <c:pt idx="56" formatCode="General">
                  <c:v>75</c:v>
                </c:pt>
                <c:pt idx="57" formatCode="General">
                  <c:v>77</c:v>
                </c:pt>
                <c:pt idx="58" formatCode="General">
                  <c:v>79</c:v>
                </c:pt>
                <c:pt idx="59" formatCode="General">
                  <c:v>81</c:v>
                </c:pt>
                <c:pt idx="60" formatCode="General">
                  <c:v>83</c:v>
                </c:pt>
                <c:pt idx="61" formatCode="General">
                  <c:v>85</c:v>
                </c:pt>
                <c:pt idx="62" formatCode="General">
                  <c:v>87</c:v>
                </c:pt>
                <c:pt idx="63" formatCode="General">
                  <c:v>89</c:v>
                </c:pt>
                <c:pt idx="64" formatCode="General">
                  <c:v>91</c:v>
                </c:pt>
                <c:pt idx="65" formatCode="General">
                  <c:v>93</c:v>
                </c:pt>
                <c:pt idx="66" formatCode="General">
                  <c:v>95</c:v>
                </c:pt>
                <c:pt idx="67" formatCode="General">
                  <c:v>97</c:v>
                </c:pt>
                <c:pt idx="68" formatCode="General">
                  <c:v>99</c:v>
                </c:pt>
                <c:pt idx="69" formatCode="General">
                  <c:v>105</c:v>
                </c:pt>
                <c:pt idx="70" formatCode="General">
                  <c:v>115</c:v>
                </c:pt>
                <c:pt idx="71" formatCode="General">
                  <c:v>125</c:v>
                </c:pt>
                <c:pt idx="72" formatCode="General">
                  <c:v>135</c:v>
                </c:pt>
              </c:numCache>
            </c:numRef>
          </c:xVal>
          <c:yVal>
            <c:numRef>
              <c:f>Len_Sel_D!#REF!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Len_Sel_D!#REF!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Len_Sel_D!$F$2:$BZ$2</c:f>
              <c:numCache>
                <c:formatCode>0.00E+00</c:formatCode>
                <c:ptCount val="73"/>
                <c:pt idx="0">
                  <c:v>1.5</c:v>
                </c:pt>
                <c:pt idx="1">
                  <c:v>2.5</c:v>
                </c:pt>
                <c:pt idx="2">
                  <c:v>3.5</c:v>
                </c:pt>
                <c:pt idx="3">
                  <c:v>4.5</c:v>
                </c:pt>
                <c:pt idx="4">
                  <c:v>5.5</c:v>
                </c:pt>
                <c:pt idx="5">
                  <c:v>6.5</c:v>
                </c:pt>
                <c:pt idx="6">
                  <c:v>7.5</c:v>
                </c:pt>
                <c:pt idx="7">
                  <c:v>8.5</c:v>
                </c:pt>
                <c:pt idx="8">
                  <c:v>9.5</c:v>
                </c:pt>
                <c:pt idx="9" formatCode="General">
                  <c:v>10.5</c:v>
                </c:pt>
                <c:pt idx="10" formatCode="General">
                  <c:v>11.5</c:v>
                </c:pt>
                <c:pt idx="11" formatCode="General">
                  <c:v>12.5</c:v>
                </c:pt>
                <c:pt idx="12" formatCode="General">
                  <c:v>13.5</c:v>
                </c:pt>
                <c:pt idx="13" formatCode="General">
                  <c:v>14.5</c:v>
                </c:pt>
                <c:pt idx="14" formatCode="General">
                  <c:v>15.5</c:v>
                </c:pt>
                <c:pt idx="15" formatCode="General">
                  <c:v>16.5</c:v>
                </c:pt>
                <c:pt idx="16" formatCode="General">
                  <c:v>17.5</c:v>
                </c:pt>
                <c:pt idx="17" formatCode="General">
                  <c:v>18.5</c:v>
                </c:pt>
                <c:pt idx="18" formatCode="General">
                  <c:v>19.5</c:v>
                </c:pt>
                <c:pt idx="19" formatCode="General">
                  <c:v>20.5</c:v>
                </c:pt>
                <c:pt idx="20" formatCode="General">
                  <c:v>21.5</c:v>
                </c:pt>
                <c:pt idx="21" formatCode="General">
                  <c:v>22.5</c:v>
                </c:pt>
                <c:pt idx="22" formatCode="General">
                  <c:v>23.5</c:v>
                </c:pt>
                <c:pt idx="23" formatCode="General">
                  <c:v>24.5</c:v>
                </c:pt>
                <c:pt idx="24" formatCode="General">
                  <c:v>25.5</c:v>
                </c:pt>
                <c:pt idx="25" formatCode="General">
                  <c:v>26.5</c:v>
                </c:pt>
                <c:pt idx="26" formatCode="General">
                  <c:v>27.5</c:v>
                </c:pt>
                <c:pt idx="27" formatCode="General">
                  <c:v>28.5</c:v>
                </c:pt>
                <c:pt idx="28" formatCode="General">
                  <c:v>29.5</c:v>
                </c:pt>
                <c:pt idx="29" formatCode="General">
                  <c:v>30.5</c:v>
                </c:pt>
                <c:pt idx="30" formatCode="General">
                  <c:v>31.5</c:v>
                </c:pt>
                <c:pt idx="31" formatCode="General">
                  <c:v>32.5</c:v>
                </c:pt>
                <c:pt idx="32" formatCode="General">
                  <c:v>33.5</c:v>
                </c:pt>
                <c:pt idx="33" formatCode="General">
                  <c:v>34.5</c:v>
                </c:pt>
                <c:pt idx="34" formatCode="General">
                  <c:v>35.5</c:v>
                </c:pt>
                <c:pt idx="35" formatCode="General">
                  <c:v>36.5</c:v>
                </c:pt>
                <c:pt idx="36" formatCode="General">
                  <c:v>37.5</c:v>
                </c:pt>
                <c:pt idx="37" formatCode="General">
                  <c:v>38.5</c:v>
                </c:pt>
                <c:pt idx="38" formatCode="General">
                  <c:v>39.5</c:v>
                </c:pt>
                <c:pt idx="39" formatCode="General">
                  <c:v>41</c:v>
                </c:pt>
                <c:pt idx="40" formatCode="General">
                  <c:v>43</c:v>
                </c:pt>
                <c:pt idx="41" formatCode="General">
                  <c:v>45</c:v>
                </c:pt>
                <c:pt idx="42" formatCode="General">
                  <c:v>47</c:v>
                </c:pt>
                <c:pt idx="43" formatCode="General">
                  <c:v>49</c:v>
                </c:pt>
                <c:pt idx="44" formatCode="General">
                  <c:v>51</c:v>
                </c:pt>
                <c:pt idx="45" formatCode="General">
                  <c:v>53</c:v>
                </c:pt>
                <c:pt idx="46" formatCode="General">
                  <c:v>55</c:v>
                </c:pt>
                <c:pt idx="47" formatCode="General">
                  <c:v>57</c:v>
                </c:pt>
                <c:pt idx="48" formatCode="General">
                  <c:v>59</c:v>
                </c:pt>
                <c:pt idx="49" formatCode="General">
                  <c:v>61</c:v>
                </c:pt>
                <c:pt idx="50" formatCode="General">
                  <c:v>63</c:v>
                </c:pt>
                <c:pt idx="51" formatCode="General">
                  <c:v>65</c:v>
                </c:pt>
                <c:pt idx="52" formatCode="General">
                  <c:v>67</c:v>
                </c:pt>
                <c:pt idx="53" formatCode="General">
                  <c:v>69</c:v>
                </c:pt>
                <c:pt idx="54" formatCode="General">
                  <c:v>71</c:v>
                </c:pt>
                <c:pt idx="55" formatCode="General">
                  <c:v>73</c:v>
                </c:pt>
                <c:pt idx="56" formatCode="General">
                  <c:v>75</c:v>
                </c:pt>
                <c:pt idx="57" formatCode="General">
                  <c:v>77</c:v>
                </c:pt>
                <c:pt idx="58" formatCode="General">
                  <c:v>79</c:v>
                </c:pt>
                <c:pt idx="59" formatCode="General">
                  <c:v>81</c:v>
                </c:pt>
                <c:pt idx="60" formatCode="General">
                  <c:v>83</c:v>
                </c:pt>
                <c:pt idx="61" formatCode="General">
                  <c:v>85</c:v>
                </c:pt>
                <c:pt idx="62" formatCode="General">
                  <c:v>87</c:v>
                </c:pt>
                <c:pt idx="63" formatCode="General">
                  <c:v>89</c:v>
                </c:pt>
                <c:pt idx="64" formatCode="General">
                  <c:v>91</c:v>
                </c:pt>
                <c:pt idx="65" formatCode="General">
                  <c:v>93</c:v>
                </c:pt>
                <c:pt idx="66" formatCode="General">
                  <c:v>95</c:v>
                </c:pt>
                <c:pt idx="67" formatCode="General">
                  <c:v>97</c:v>
                </c:pt>
                <c:pt idx="68" formatCode="General">
                  <c:v>99</c:v>
                </c:pt>
                <c:pt idx="69" formatCode="General">
                  <c:v>105</c:v>
                </c:pt>
                <c:pt idx="70" formatCode="General">
                  <c:v>115</c:v>
                </c:pt>
                <c:pt idx="71" formatCode="General">
                  <c:v>125</c:v>
                </c:pt>
                <c:pt idx="72" formatCode="General">
                  <c:v>135</c:v>
                </c:pt>
              </c:numCache>
            </c:numRef>
          </c:xVal>
          <c:yVal>
            <c:numRef>
              <c:f>Len_Sel_D!#REF!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Len_Sel_D!#REF!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Len_Sel_D!$F$2:$BZ$2</c:f>
              <c:numCache>
                <c:formatCode>0.00E+00</c:formatCode>
                <c:ptCount val="73"/>
                <c:pt idx="0">
                  <c:v>1.5</c:v>
                </c:pt>
                <c:pt idx="1">
                  <c:v>2.5</c:v>
                </c:pt>
                <c:pt idx="2">
                  <c:v>3.5</c:v>
                </c:pt>
                <c:pt idx="3">
                  <c:v>4.5</c:v>
                </c:pt>
                <c:pt idx="4">
                  <c:v>5.5</c:v>
                </c:pt>
                <c:pt idx="5">
                  <c:v>6.5</c:v>
                </c:pt>
                <c:pt idx="6">
                  <c:v>7.5</c:v>
                </c:pt>
                <c:pt idx="7">
                  <c:v>8.5</c:v>
                </c:pt>
                <c:pt idx="8">
                  <c:v>9.5</c:v>
                </c:pt>
                <c:pt idx="9" formatCode="General">
                  <c:v>10.5</c:v>
                </c:pt>
                <c:pt idx="10" formatCode="General">
                  <c:v>11.5</c:v>
                </c:pt>
                <c:pt idx="11" formatCode="General">
                  <c:v>12.5</c:v>
                </c:pt>
                <c:pt idx="12" formatCode="General">
                  <c:v>13.5</c:v>
                </c:pt>
                <c:pt idx="13" formatCode="General">
                  <c:v>14.5</c:v>
                </c:pt>
                <c:pt idx="14" formatCode="General">
                  <c:v>15.5</c:v>
                </c:pt>
                <c:pt idx="15" formatCode="General">
                  <c:v>16.5</c:v>
                </c:pt>
                <c:pt idx="16" formatCode="General">
                  <c:v>17.5</c:v>
                </c:pt>
                <c:pt idx="17" formatCode="General">
                  <c:v>18.5</c:v>
                </c:pt>
                <c:pt idx="18" formatCode="General">
                  <c:v>19.5</c:v>
                </c:pt>
                <c:pt idx="19" formatCode="General">
                  <c:v>20.5</c:v>
                </c:pt>
                <c:pt idx="20" formatCode="General">
                  <c:v>21.5</c:v>
                </c:pt>
                <c:pt idx="21" formatCode="General">
                  <c:v>22.5</c:v>
                </c:pt>
                <c:pt idx="22" formatCode="General">
                  <c:v>23.5</c:v>
                </c:pt>
                <c:pt idx="23" formatCode="General">
                  <c:v>24.5</c:v>
                </c:pt>
                <c:pt idx="24" formatCode="General">
                  <c:v>25.5</c:v>
                </c:pt>
                <c:pt idx="25" formatCode="General">
                  <c:v>26.5</c:v>
                </c:pt>
                <c:pt idx="26" formatCode="General">
                  <c:v>27.5</c:v>
                </c:pt>
                <c:pt idx="27" formatCode="General">
                  <c:v>28.5</c:v>
                </c:pt>
                <c:pt idx="28" formatCode="General">
                  <c:v>29.5</c:v>
                </c:pt>
                <c:pt idx="29" formatCode="General">
                  <c:v>30.5</c:v>
                </c:pt>
                <c:pt idx="30" formatCode="General">
                  <c:v>31.5</c:v>
                </c:pt>
                <c:pt idx="31" formatCode="General">
                  <c:v>32.5</c:v>
                </c:pt>
                <c:pt idx="32" formatCode="General">
                  <c:v>33.5</c:v>
                </c:pt>
                <c:pt idx="33" formatCode="General">
                  <c:v>34.5</c:v>
                </c:pt>
                <c:pt idx="34" formatCode="General">
                  <c:v>35.5</c:v>
                </c:pt>
                <c:pt idx="35" formatCode="General">
                  <c:v>36.5</c:v>
                </c:pt>
                <c:pt idx="36" formatCode="General">
                  <c:v>37.5</c:v>
                </c:pt>
                <c:pt idx="37" formatCode="General">
                  <c:v>38.5</c:v>
                </c:pt>
                <c:pt idx="38" formatCode="General">
                  <c:v>39.5</c:v>
                </c:pt>
                <c:pt idx="39" formatCode="General">
                  <c:v>41</c:v>
                </c:pt>
                <c:pt idx="40" formatCode="General">
                  <c:v>43</c:v>
                </c:pt>
                <c:pt idx="41" formatCode="General">
                  <c:v>45</c:v>
                </c:pt>
                <c:pt idx="42" formatCode="General">
                  <c:v>47</c:v>
                </c:pt>
                <c:pt idx="43" formatCode="General">
                  <c:v>49</c:v>
                </c:pt>
                <c:pt idx="44" formatCode="General">
                  <c:v>51</c:v>
                </c:pt>
                <c:pt idx="45" formatCode="General">
                  <c:v>53</c:v>
                </c:pt>
                <c:pt idx="46" formatCode="General">
                  <c:v>55</c:v>
                </c:pt>
                <c:pt idx="47" formatCode="General">
                  <c:v>57</c:v>
                </c:pt>
                <c:pt idx="48" formatCode="General">
                  <c:v>59</c:v>
                </c:pt>
                <c:pt idx="49" formatCode="General">
                  <c:v>61</c:v>
                </c:pt>
                <c:pt idx="50" formatCode="General">
                  <c:v>63</c:v>
                </c:pt>
                <c:pt idx="51" formatCode="General">
                  <c:v>65</c:v>
                </c:pt>
                <c:pt idx="52" formatCode="General">
                  <c:v>67</c:v>
                </c:pt>
                <c:pt idx="53" formatCode="General">
                  <c:v>69</c:v>
                </c:pt>
                <c:pt idx="54" formatCode="General">
                  <c:v>71</c:v>
                </c:pt>
                <c:pt idx="55" formatCode="General">
                  <c:v>73</c:v>
                </c:pt>
                <c:pt idx="56" formatCode="General">
                  <c:v>75</c:v>
                </c:pt>
                <c:pt idx="57" formatCode="General">
                  <c:v>77</c:v>
                </c:pt>
                <c:pt idx="58" formatCode="General">
                  <c:v>79</c:v>
                </c:pt>
                <c:pt idx="59" formatCode="General">
                  <c:v>81</c:v>
                </c:pt>
                <c:pt idx="60" formatCode="General">
                  <c:v>83</c:v>
                </c:pt>
                <c:pt idx="61" formatCode="General">
                  <c:v>85</c:v>
                </c:pt>
                <c:pt idx="62" formatCode="General">
                  <c:v>87</c:v>
                </c:pt>
                <c:pt idx="63" formatCode="General">
                  <c:v>89</c:v>
                </c:pt>
                <c:pt idx="64" formatCode="General">
                  <c:v>91</c:v>
                </c:pt>
                <c:pt idx="65" formatCode="General">
                  <c:v>93</c:v>
                </c:pt>
                <c:pt idx="66" formatCode="General">
                  <c:v>95</c:v>
                </c:pt>
                <c:pt idx="67" formatCode="General">
                  <c:v>97</c:v>
                </c:pt>
                <c:pt idx="68" formatCode="General">
                  <c:v>99</c:v>
                </c:pt>
                <c:pt idx="69" formatCode="General">
                  <c:v>105</c:v>
                </c:pt>
                <c:pt idx="70" formatCode="General">
                  <c:v>115</c:v>
                </c:pt>
                <c:pt idx="71" formatCode="General">
                  <c:v>125</c:v>
                </c:pt>
                <c:pt idx="72" formatCode="General">
                  <c:v>135</c:v>
                </c:pt>
              </c:numCache>
            </c:numRef>
          </c:xVal>
          <c:yVal>
            <c:numRef>
              <c:f>Len_Sel_D!#REF!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Len_Sel_D!#REF!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Len_Sel_D!$F$2:$BZ$2</c:f>
              <c:numCache>
                <c:formatCode>0.00E+00</c:formatCode>
                <c:ptCount val="73"/>
                <c:pt idx="0">
                  <c:v>1.5</c:v>
                </c:pt>
                <c:pt idx="1">
                  <c:v>2.5</c:v>
                </c:pt>
                <c:pt idx="2">
                  <c:v>3.5</c:v>
                </c:pt>
                <c:pt idx="3">
                  <c:v>4.5</c:v>
                </c:pt>
                <c:pt idx="4">
                  <c:v>5.5</c:v>
                </c:pt>
                <c:pt idx="5">
                  <c:v>6.5</c:v>
                </c:pt>
                <c:pt idx="6">
                  <c:v>7.5</c:v>
                </c:pt>
                <c:pt idx="7">
                  <c:v>8.5</c:v>
                </c:pt>
                <c:pt idx="8">
                  <c:v>9.5</c:v>
                </c:pt>
                <c:pt idx="9" formatCode="General">
                  <c:v>10.5</c:v>
                </c:pt>
                <c:pt idx="10" formatCode="General">
                  <c:v>11.5</c:v>
                </c:pt>
                <c:pt idx="11" formatCode="General">
                  <c:v>12.5</c:v>
                </c:pt>
                <c:pt idx="12" formatCode="General">
                  <c:v>13.5</c:v>
                </c:pt>
                <c:pt idx="13" formatCode="General">
                  <c:v>14.5</c:v>
                </c:pt>
                <c:pt idx="14" formatCode="General">
                  <c:v>15.5</c:v>
                </c:pt>
                <c:pt idx="15" formatCode="General">
                  <c:v>16.5</c:v>
                </c:pt>
                <c:pt idx="16" formatCode="General">
                  <c:v>17.5</c:v>
                </c:pt>
                <c:pt idx="17" formatCode="General">
                  <c:v>18.5</c:v>
                </c:pt>
                <c:pt idx="18" formatCode="General">
                  <c:v>19.5</c:v>
                </c:pt>
                <c:pt idx="19" formatCode="General">
                  <c:v>20.5</c:v>
                </c:pt>
                <c:pt idx="20" formatCode="General">
                  <c:v>21.5</c:v>
                </c:pt>
                <c:pt idx="21" formatCode="General">
                  <c:v>22.5</c:v>
                </c:pt>
                <c:pt idx="22" formatCode="General">
                  <c:v>23.5</c:v>
                </c:pt>
                <c:pt idx="23" formatCode="General">
                  <c:v>24.5</c:v>
                </c:pt>
                <c:pt idx="24" formatCode="General">
                  <c:v>25.5</c:v>
                </c:pt>
                <c:pt idx="25" formatCode="General">
                  <c:v>26.5</c:v>
                </c:pt>
                <c:pt idx="26" formatCode="General">
                  <c:v>27.5</c:v>
                </c:pt>
                <c:pt idx="27" formatCode="General">
                  <c:v>28.5</c:v>
                </c:pt>
                <c:pt idx="28" formatCode="General">
                  <c:v>29.5</c:v>
                </c:pt>
                <c:pt idx="29" formatCode="General">
                  <c:v>30.5</c:v>
                </c:pt>
                <c:pt idx="30" formatCode="General">
                  <c:v>31.5</c:v>
                </c:pt>
                <c:pt idx="31" formatCode="General">
                  <c:v>32.5</c:v>
                </c:pt>
                <c:pt idx="32" formatCode="General">
                  <c:v>33.5</c:v>
                </c:pt>
                <c:pt idx="33" formatCode="General">
                  <c:v>34.5</c:v>
                </c:pt>
                <c:pt idx="34" formatCode="General">
                  <c:v>35.5</c:v>
                </c:pt>
                <c:pt idx="35" formatCode="General">
                  <c:v>36.5</c:v>
                </c:pt>
                <c:pt idx="36" formatCode="General">
                  <c:v>37.5</c:v>
                </c:pt>
                <c:pt idx="37" formatCode="General">
                  <c:v>38.5</c:v>
                </c:pt>
                <c:pt idx="38" formatCode="General">
                  <c:v>39.5</c:v>
                </c:pt>
                <c:pt idx="39" formatCode="General">
                  <c:v>41</c:v>
                </c:pt>
                <c:pt idx="40" formatCode="General">
                  <c:v>43</c:v>
                </c:pt>
                <c:pt idx="41" formatCode="General">
                  <c:v>45</c:v>
                </c:pt>
                <c:pt idx="42" formatCode="General">
                  <c:v>47</c:v>
                </c:pt>
                <c:pt idx="43" formatCode="General">
                  <c:v>49</c:v>
                </c:pt>
                <c:pt idx="44" formatCode="General">
                  <c:v>51</c:v>
                </c:pt>
                <c:pt idx="45" formatCode="General">
                  <c:v>53</c:v>
                </c:pt>
                <c:pt idx="46" formatCode="General">
                  <c:v>55</c:v>
                </c:pt>
                <c:pt idx="47" formatCode="General">
                  <c:v>57</c:v>
                </c:pt>
                <c:pt idx="48" formatCode="General">
                  <c:v>59</c:v>
                </c:pt>
                <c:pt idx="49" formatCode="General">
                  <c:v>61</c:v>
                </c:pt>
                <c:pt idx="50" formatCode="General">
                  <c:v>63</c:v>
                </c:pt>
                <c:pt idx="51" formatCode="General">
                  <c:v>65</c:v>
                </c:pt>
                <c:pt idx="52" formatCode="General">
                  <c:v>67</c:v>
                </c:pt>
                <c:pt idx="53" formatCode="General">
                  <c:v>69</c:v>
                </c:pt>
                <c:pt idx="54" formatCode="General">
                  <c:v>71</c:v>
                </c:pt>
                <c:pt idx="55" formatCode="General">
                  <c:v>73</c:v>
                </c:pt>
                <c:pt idx="56" formatCode="General">
                  <c:v>75</c:v>
                </c:pt>
                <c:pt idx="57" formatCode="General">
                  <c:v>77</c:v>
                </c:pt>
                <c:pt idx="58" formatCode="General">
                  <c:v>79</c:v>
                </c:pt>
                <c:pt idx="59" formatCode="General">
                  <c:v>81</c:v>
                </c:pt>
                <c:pt idx="60" formatCode="General">
                  <c:v>83</c:v>
                </c:pt>
                <c:pt idx="61" formatCode="General">
                  <c:v>85</c:v>
                </c:pt>
                <c:pt idx="62" formatCode="General">
                  <c:v>87</c:v>
                </c:pt>
                <c:pt idx="63" formatCode="General">
                  <c:v>89</c:v>
                </c:pt>
                <c:pt idx="64" formatCode="General">
                  <c:v>91</c:v>
                </c:pt>
                <c:pt idx="65" formatCode="General">
                  <c:v>93</c:v>
                </c:pt>
                <c:pt idx="66" formatCode="General">
                  <c:v>95</c:v>
                </c:pt>
                <c:pt idx="67" formatCode="General">
                  <c:v>97</c:v>
                </c:pt>
                <c:pt idx="68" formatCode="General">
                  <c:v>99</c:v>
                </c:pt>
                <c:pt idx="69" formatCode="General">
                  <c:v>105</c:v>
                </c:pt>
                <c:pt idx="70" formatCode="General">
                  <c:v>115</c:v>
                </c:pt>
                <c:pt idx="71" formatCode="General">
                  <c:v>125</c:v>
                </c:pt>
                <c:pt idx="72" formatCode="General">
                  <c:v>135</c:v>
                </c:pt>
              </c:numCache>
            </c:numRef>
          </c:xVal>
          <c:yVal>
            <c:numRef>
              <c:f>Len_Sel_D!#REF!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Len_Sel_D!#REF!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Len_Sel_D!$F$2:$BZ$2</c:f>
              <c:numCache>
                <c:formatCode>0.00E+00</c:formatCode>
                <c:ptCount val="73"/>
                <c:pt idx="0">
                  <c:v>1.5</c:v>
                </c:pt>
                <c:pt idx="1">
                  <c:v>2.5</c:v>
                </c:pt>
                <c:pt idx="2">
                  <c:v>3.5</c:v>
                </c:pt>
                <c:pt idx="3">
                  <c:v>4.5</c:v>
                </c:pt>
                <c:pt idx="4">
                  <c:v>5.5</c:v>
                </c:pt>
                <c:pt idx="5">
                  <c:v>6.5</c:v>
                </c:pt>
                <c:pt idx="6">
                  <c:v>7.5</c:v>
                </c:pt>
                <c:pt idx="7">
                  <c:v>8.5</c:v>
                </c:pt>
                <c:pt idx="8">
                  <c:v>9.5</c:v>
                </c:pt>
                <c:pt idx="9" formatCode="General">
                  <c:v>10.5</c:v>
                </c:pt>
                <c:pt idx="10" formatCode="General">
                  <c:v>11.5</c:v>
                </c:pt>
                <c:pt idx="11" formatCode="General">
                  <c:v>12.5</c:v>
                </c:pt>
                <c:pt idx="12" formatCode="General">
                  <c:v>13.5</c:v>
                </c:pt>
                <c:pt idx="13" formatCode="General">
                  <c:v>14.5</c:v>
                </c:pt>
                <c:pt idx="14" formatCode="General">
                  <c:v>15.5</c:v>
                </c:pt>
                <c:pt idx="15" formatCode="General">
                  <c:v>16.5</c:v>
                </c:pt>
                <c:pt idx="16" formatCode="General">
                  <c:v>17.5</c:v>
                </c:pt>
                <c:pt idx="17" formatCode="General">
                  <c:v>18.5</c:v>
                </c:pt>
                <c:pt idx="18" formatCode="General">
                  <c:v>19.5</c:v>
                </c:pt>
                <c:pt idx="19" formatCode="General">
                  <c:v>20.5</c:v>
                </c:pt>
                <c:pt idx="20" formatCode="General">
                  <c:v>21.5</c:v>
                </c:pt>
                <c:pt idx="21" formatCode="General">
                  <c:v>22.5</c:v>
                </c:pt>
                <c:pt idx="22" formatCode="General">
                  <c:v>23.5</c:v>
                </c:pt>
                <c:pt idx="23" formatCode="General">
                  <c:v>24.5</c:v>
                </c:pt>
                <c:pt idx="24" formatCode="General">
                  <c:v>25.5</c:v>
                </c:pt>
                <c:pt idx="25" formatCode="General">
                  <c:v>26.5</c:v>
                </c:pt>
                <c:pt idx="26" formatCode="General">
                  <c:v>27.5</c:v>
                </c:pt>
                <c:pt idx="27" formatCode="General">
                  <c:v>28.5</c:v>
                </c:pt>
                <c:pt idx="28" formatCode="General">
                  <c:v>29.5</c:v>
                </c:pt>
                <c:pt idx="29" formatCode="General">
                  <c:v>30.5</c:v>
                </c:pt>
                <c:pt idx="30" formatCode="General">
                  <c:v>31.5</c:v>
                </c:pt>
                <c:pt idx="31" formatCode="General">
                  <c:v>32.5</c:v>
                </c:pt>
                <c:pt idx="32" formatCode="General">
                  <c:v>33.5</c:v>
                </c:pt>
                <c:pt idx="33" formatCode="General">
                  <c:v>34.5</c:v>
                </c:pt>
                <c:pt idx="34" formatCode="General">
                  <c:v>35.5</c:v>
                </c:pt>
                <c:pt idx="35" formatCode="General">
                  <c:v>36.5</c:v>
                </c:pt>
                <c:pt idx="36" formatCode="General">
                  <c:v>37.5</c:v>
                </c:pt>
                <c:pt idx="37" formatCode="General">
                  <c:v>38.5</c:v>
                </c:pt>
                <c:pt idx="38" formatCode="General">
                  <c:v>39.5</c:v>
                </c:pt>
                <c:pt idx="39" formatCode="General">
                  <c:v>41</c:v>
                </c:pt>
                <c:pt idx="40" formatCode="General">
                  <c:v>43</c:v>
                </c:pt>
                <c:pt idx="41" formatCode="General">
                  <c:v>45</c:v>
                </c:pt>
                <c:pt idx="42" formatCode="General">
                  <c:v>47</c:v>
                </c:pt>
                <c:pt idx="43" formatCode="General">
                  <c:v>49</c:v>
                </c:pt>
                <c:pt idx="44" formatCode="General">
                  <c:v>51</c:v>
                </c:pt>
                <c:pt idx="45" formatCode="General">
                  <c:v>53</c:v>
                </c:pt>
                <c:pt idx="46" formatCode="General">
                  <c:v>55</c:v>
                </c:pt>
                <c:pt idx="47" formatCode="General">
                  <c:v>57</c:v>
                </c:pt>
                <c:pt idx="48" formatCode="General">
                  <c:v>59</c:v>
                </c:pt>
                <c:pt idx="49" formatCode="General">
                  <c:v>61</c:v>
                </c:pt>
                <c:pt idx="50" formatCode="General">
                  <c:v>63</c:v>
                </c:pt>
                <c:pt idx="51" formatCode="General">
                  <c:v>65</c:v>
                </c:pt>
                <c:pt idx="52" formatCode="General">
                  <c:v>67</c:v>
                </c:pt>
                <c:pt idx="53" formatCode="General">
                  <c:v>69</c:v>
                </c:pt>
                <c:pt idx="54" formatCode="General">
                  <c:v>71</c:v>
                </c:pt>
                <c:pt idx="55" formatCode="General">
                  <c:v>73</c:v>
                </c:pt>
                <c:pt idx="56" formatCode="General">
                  <c:v>75</c:v>
                </c:pt>
                <c:pt idx="57" formatCode="General">
                  <c:v>77</c:v>
                </c:pt>
                <c:pt idx="58" formatCode="General">
                  <c:v>79</c:v>
                </c:pt>
                <c:pt idx="59" formatCode="General">
                  <c:v>81</c:v>
                </c:pt>
                <c:pt idx="60" formatCode="General">
                  <c:v>83</c:v>
                </c:pt>
                <c:pt idx="61" formatCode="General">
                  <c:v>85</c:v>
                </c:pt>
                <c:pt idx="62" formatCode="General">
                  <c:v>87</c:v>
                </c:pt>
                <c:pt idx="63" formatCode="General">
                  <c:v>89</c:v>
                </c:pt>
                <c:pt idx="64" formatCode="General">
                  <c:v>91</c:v>
                </c:pt>
                <c:pt idx="65" formatCode="General">
                  <c:v>93</c:v>
                </c:pt>
                <c:pt idx="66" formatCode="General">
                  <c:v>95</c:v>
                </c:pt>
                <c:pt idx="67" formatCode="General">
                  <c:v>97</c:v>
                </c:pt>
                <c:pt idx="68" formatCode="General">
                  <c:v>99</c:v>
                </c:pt>
                <c:pt idx="69" formatCode="General">
                  <c:v>105</c:v>
                </c:pt>
                <c:pt idx="70" formatCode="General">
                  <c:v>115</c:v>
                </c:pt>
                <c:pt idx="71" formatCode="General">
                  <c:v>125</c:v>
                </c:pt>
                <c:pt idx="72" formatCode="General">
                  <c:v>135</c:v>
                </c:pt>
              </c:numCache>
            </c:numRef>
          </c:xVal>
          <c:yVal>
            <c:numRef>
              <c:f>Len_Sel_D!#REF!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Len_Sel_D!#REF!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Len_Sel_D!$F$2:$BZ$2</c:f>
              <c:numCache>
                <c:formatCode>0.00E+00</c:formatCode>
                <c:ptCount val="73"/>
                <c:pt idx="0">
                  <c:v>1.5</c:v>
                </c:pt>
                <c:pt idx="1">
                  <c:v>2.5</c:v>
                </c:pt>
                <c:pt idx="2">
                  <c:v>3.5</c:v>
                </c:pt>
                <c:pt idx="3">
                  <c:v>4.5</c:v>
                </c:pt>
                <c:pt idx="4">
                  <c:v>5.5</c:v>
                </c:pt>
                <c:pt idx="5">
                  <c:v>6.5</c:v>
                </c:pt>
                <c:pt idx="6">
                  <c:v>7.5</c:v>
                </c:pt>
                <c:pt idx="7">
                  <c:v>8.5</c:v>
                </c:pt>
                <c:pt idx="8">
                  <c:v>9.5</c:v>
                </c:pt>
                <c:pt idx="9" formatCode="General">
                  <c:v>10.5</c:v>
                </c:pt>
                <c:pt idx="10" formatCode="General">
                  <c:v>11.5</c:v>
                </c:pt>
                <c:pt idx="11" formatCode="General">
                  <c:v>12.5</c:v>
                </c:pt>
                <c:pt idx="12" formatCode="General">
                  <c:v>13.5</c:v>
                </c:pt>
                <c:pt idx="13" formatCode="General">
                  <c:v>14.5</c:v>
                </c:pt>
                <c:pt idx="14" formatCode="General">
                  <c:v>15.5</c:v>
                </c:pt>
                <c:pt idx="15" formatCode="General">
                  <c:v>16.5</c:v>
                </c:pt>
                <c:pt idx="16" formatCode="General">
                  <c:v>17.5</c:v>
                </c:pt>
                <c:pt idx="17" formatCode="General">
                  <c:v>18.5</c:v>
                </c:pt>
                <c:pt idx="18" formatCode="General">
                  <c:v>19.5</c:v>
                </c:pt>
                <c:pt idx="19" formatCode="General">
                  <c:v>20.5</c:v>
                </c:pt>
                <c:pt idx="20" formatCode="General">
                  <c:v>21.5</c:v>
                </c:pt>
                <c:pt idx="21" formatCode="General">
                  <c:v>22.5</c:v>
                </c:pt>
                <c:pt idx="22" formatCode="General">
                  <c:v>23.5</c:v>
                </c:pt>
                <c:pt idx="23" formatCode="General">
                  <c:v>24.5</c:v>
                </c:pt>
                <c:pt idx="24" formatCode="General">
                  <c:v>25.5</c:v>
                </c:pt>
                <c:pt idx="25" formatCode="General">
                  <c:v>26.5</c:v>
                </c:pt>
                <c:pt idx="26" formatCode="General">
                  <c:v>27.5</c:v>
                </c:pt>
                <c:pt idx="27" formatCode="General">
                  <c:v>28.5</c:v>
                </c:pt>
                <c:pt idx="28" formatCode="General">
                  <c:v>29.5</c:v>
                </c:pt>
                <c:pt idx="29" formatCode="General">
                  <c:v>30.5</c:v>
                </c:pt>
                <c:pt idx="30" formatCode="General">
                  <c:v>31.5</c:v>
                </c:pt>
                <c:pt idx="31" formatCode="General">
                  <c:v>32.5</c:v>
                </c:pt>
                <c:pt idx="32" formatCode="General">
                  <c:v>33.5</c:v>
                </c:pt>
                <c:pt idx="33" formatCode="General">
                  <c:v>34.5</c:v>
                </c:pt>
                <c:pt idx="34" formatCode="General">
                  <c:v>35.5</c:v>
                </c:pt>
                <c:pt idx="35" formatCode="General">
                  <c:v>36.5</c:v>
                </c:pt>
                <c:pt idx="36" formatCode="General">
                  <c:v>37.5</c:v>
                </c:pt>
                <c:pt idx="37" formatCode="General">
                  <c:v>38.5</c:v>
                </c:pt>
                <c:pt idx="38" formatCode="General">
                  <c:v>39.5</c:v>
                </c:pt>
                <c:pt idx="39" formatCode="General">
                  <c:v>41</c:v>
                </c:pt>
                <c:pt idx="40" formatCode="General">
                  <c:v>43</c:v>
                </c:pt>
                <c:pt idx="41" formatCode="General">
                  <c:v>45</c:v>
                </c:pt>
                <c:pt idx="42" formatCode="General">
                  <c:v>47</c:v>
                </c:pt>
                <c:pt idx="43" formatCode="General">
                  <c:v>49</c:v>
                </c:pt>
                <c:pt idx="44" formatCode="General">
                  <c:v>51</c:v>
                </c:pt>
                <c:pt idx="45" formatCode="General">
                  <c:v>53</c:v>
                </c:pt>
                <c:pt idx="46" formatCode="General">
                  <c:v>55</c:v>
                </c:pt>
                <c:pt idx="47" formatCode="General">
                  <c:v>57</c:v>
                </c:pt>
                <c:pt idx="48" formatCode="General">
                  <c:v>59</c:v>
                </c:pt>
                <c:pt idx="49" formatCode="General">
                  <c:v>61</c:v>
                </c:pt>
                <c:pt idx="50" formatCode="General">
                  <c:v>63</c:v>
                </c:pt>
                <c:pt idx="51" formatCode="General">
                  <c:v>65</c:v>
                </c:pt>
                <c:pt idx="52" formatCode="General">
                  <c:v>67</c:v>
                </c:pt>
                <c:pt idx="53" formatCode="General">
                  <c:v>69</c:v>
                </c:pt>
                <c:pt idx="54" formatCode="General">
                  <c:v>71</c:v>
                </c:pt>
                <c:pt idx="55" formatCode="General">
                  <c:v>73</c:v>
                </c:pt>
                <c:pt idx="56" formatCode="General">
                  <c:v>75</c:v>
                </c:pt>
                <c:pt idx="57" formatCode="General">
                  <c:v>77</c:v>
                </c:pt>
                <c:pt idx="58" formatCode="General">
                  <c:v>79</c:v>
                </c:pt>
                <c:pt idx="59" formatCode="General">
                  <c:v>81</c:v>
                </c:pt>
                <c:pt idx="60" formatCode="General">
                  <c:v>83</c:v>
                </c:pt>
                <c:pt idx="61" formatCode="General">
                  <c:v>85</c:v>
                </c:pt>
                <c:pt idx="62" formatCode="General">
                  <c:v>87</c:v>
                </c:pt>
                <c:pt idx="63" formatCode="General">
                  <c:v>89</c:v>
                </c:pt>
                <c:pt idx="64" formatCode="General">
                  <c:v>91</c:v>
                </c:pt>
                <c:pt idx="65" formatCode="General">
                  <c:v>93</c:v>
                </c:pt>
                <c:pt idx="66" formatCode="General">
                  <c:v>95</c:v>
                </c:pt>
                <c:pt idx="67" formatCode="General">
                  <c:v>97</c:v>
                </c:pt>
                <c:pt idx="68" formatCode="General">
                  <c:v>99</c:v>
                </c:pt>
                <c:pt idx="69" formatCode="General">
                  <c:v>105</c:v>
                </c:pt>
                <c:pt idx="70" formatCode="General">
                  <c:v>115</c:v>
                </c:pt>
                <c:pt idx="71" formatCode="General">
                  <c:v>125</c:v>
                </c:pt>
                <c:pt idx="72" formatCode="General">
                  <c:v>135</c:v>
                </c:pt>
              </c:numCache>
            </c:numRef>
          </c:xVal>
          <c:yVal>
            <c:numRef>
              <c:f>Len_Sel_D!#REF!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Len_Sel_D!#REF!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Len_Sel_D!$F$2:$BZ$2</c:f>
              <c:numCache>
                <c:formatCode>0.00E+00</c:formatCode>
                <c:ptCount val="73"/>
                <c:pt idx="0">
                  <c:v>1.5</c:v>
                </c:pt>
                <c:pt idx="1">
                  <c:v>2.5</c:v>
                </c:pt>
                <c:pt idx="2">
                  <c:v>3.5</c:v>
                </c:pt>
                <c:pt idx="3">
                  <c:v>4.5</c:v>
                </c:pt>
                <c:pt idx="4">
                  <c:v>5.5</c:v>
                </c:pt>
                <c:pt idx="5">
                  <c:v>6.5</c:v>
                </c:pt>
                <c:pt idx="6">
                  <c:v>7.5</c:v>
                </c:pt>
                <c:pt idx="7">
                  <c:v>8.5</c:v>
                </c:pt>
                <c:pt idx="8">
                  <c:v>9.5</c:v>
                </c:pt>
                <c:pt idx="9" formatCode="General">
                  <c:v>10.5</c:v>
                </c:pt>
                <c:pt idx="10" formatCode="General">
                  <c:v>11.5</c:v>
                </c:pt>
                <c:pt idx="11" formatCode="General">
                  <c:v>12.5</c:v>
                </c:pt>
                <c:pt idx="12" formatCode="General">
                  <c:v>13.5</c:v>
                </c:pt>
                <c:pt idx="13" formatCode="General">
                  <c:v>14.5</c:v>
                </c:pt>
                <c:pt idx="14" formatCode="General">
                  <c:v>15.5</c:v>
                </c:pt>
                <c:pt idx="15" formatCode="General">
                  <c:v>16.5</c:v>
                </c:pt>
                <c:pt idx="16" formatCode="General">
                  <c:v>17.5</c:v>
                </c:pt>
                <c:pt idx="17" formatCode="General">
                  <c:v>18.5</c:v>
                </c:pt>
                <c:pt idx="18" formatCode="General">
                  <c:v>19.5</c:v>
                </c:pt>
                <c:pt idx="19" formatCode="General">
                  <c:v>20.5</c:v>
                </c:pt>
                <c:pt idx="20" formatCode="General">
                  <c:v>21.5</c:v>
                </c:pt>
                <c:pt idx="21" formatCode="General">
                  <c:v>22.5</c:v>
                </c:pt>
                <c:pt idx="22" formatCode="General">
                  <c:v>23.5</c:v>
                </c:pt>
                <c:pt idx="23" formatCode="General">
                  <c:v>24.5</c:v>
                </c:pt>
                <c:pt idx="24" formatCode="General">
                  <c:v>25.5</c:v>
                </c:pt>
                <c:pt idx="25" formatCode="General">
                  <c:v>26.5</c:v>
                </c:pt>
                <c:pt idx="26" formatCode="General">
                  <c:v>27.5</c:v>
                </c:pt>
                <c:pt idx="27" formatCode="General">
                  <c:v>28.5</c:v>
                </c:pt>
                <c:pt idx="28" formatCode="General">
                  <c:v>29.5</c:v>
                </c:pt>
                <c:pt idx="29" formatCode="General">
                  <c:v>30.5</c:v>
                </c:pt>
                <c:pt idx="30" formatCode="General">
                  <c:v>31.5</c:v>
                </c:pt>
                <c:pt idx="31" formatCode="General">
                  <c:v>32.5</c:v>
                </c:pt>
                <c:pt idx="32" formatCode="General">
                  <c:v>33.5</c:v>
                </c:pt>
                <c:pt idx="33" formatCode="General">
                  <c:v>34.5</c:v>
                </c:pt>
                <c:pt idx="34" formatCode="General">
                  <c:v>35.5</c:v>
                </c:pt>
                <c:pt idx="35" formatCode="General">
                  <c:v>36.5</c:v>
                </c:pt>
                <c:pt idx="36" formatCode="General">
                  <c:v>37.5</c:v>
                </c:pt>
                <c:pt idx="37" formatCode="General">
                  <c:v>38.5</c:v>
                </c:pt>
                <c:pt idx="38" formatCode="General">
                  <c:v>39.5</c:v>
                </c:pt>
                <c:pt idx="39" formatCode="General">
                  <c:v>41</c:v>
                </c:pt>
                <c:pt idx="40" formatCode="General">
                  <c:v>43</c:v>
                </c:pt>
                <c:pt idx="41" formatCode="General">
                  <c:v>45</c:v>
                </c:pt>
                <c:pt idx="42" formatCode="General">
                  <c:v>47</c:v>
                </c:pt>
                <c:pt idx="43" formatCode="General">
                  <c:v>49</c:v>
                </c:pt>
                <c:pt idx="44" formatCode="General">
                  <c:v>51</c:v>
                </c:pt>
                <c:pt idx="45" formatCode="General">
                  <c:v>53</c:v>
                </c:pt>
                <c:pt idx="46" formatCode="General">
                  <c:v>55</c:v>
                </c:pt>
                <c:pt idx="47" formatCode="General">
                  <c:v>57</c:v>
                </c:pt>
                <c:pt idx="48" formatCode="General">
                  <c:v>59</c:v>
                </c:pt>
                <c:pt idx="49" formatCode="General">
                  <c:v>61</c:v>
                </c:pt>
                <c:pt idx="50" formatCode="General">
                  <c:v>63</c:v>
                </c:pt>
                <c:pt idx="51" formatCode="General">
                  <c:v>65</c:v>
                </c:pt>
                <c:pt idx="52" formatCode="General">
                  <c:v>67</c:v>
                </c:pt>
                <c:pt idx="53" formatCode="General">
                  <c:v>69</c:v>
                </c:pt>
                <c:pt idx="54" formatCode="General">
                  <c:v>71</c:v>
                </c:pt>
                <c:pt idx="55" formatCode="General">
                  <c:v>73</c:v>
                </c:pt>
                <c:pt idx="56" formatCode="General">
                  <c:v>75</c:v>
                </c:pt>
                <c:pt idx="57" formatCode="General">
                  <c:v>77</c:v>
                </c:pt>
                <c:pt idx="58" formatCode="General">
                  <c:v>79</c:v>
                </c:pt>
                <c:pt idx="59" formatCode="General">
                  <c:v>81</c:v>
                </c:pt>
                <c:pt idx="60" formatCode="General">
                  <c:v>83</c:v>
                </c:pt>
                <c:pt idx="61" formatCode="General">
                  <c:v>85</c:v>
                </c:pt>
                <c:pt idx="62" formatCode="General">
                  <c:v>87</c:v>
                </c:pt>
                <c:pt idx="63" formatCode="General">
                  <c:v>89</c:v>
                </c:pt>
                <c:pt idx="64" formatCode="General">
                  <c:v>91</c:v>
                </c:pt>
                <c:pt idx="65" formatCode="General">
                  <c:v>93</c:v>
                </c:pt>
                <c:pt idx="66" formatCode="General">
                  <c:v>95</c:v>
                </c:pt>
                <c:pt idx="67" formatCode="General">
                  <c:v>97</c:v>
                </c:pt>
                <c:pt idx="68" formatCode="General">
                  <c:v>99</c:v>
                </c:pt>
                <c:pt idx="69" formatCode="General">
                  <c:v>105</c:v>
                </c:pt>
                <c:pt idx="70" formatCode="General">
                  <c:v>115</c:v>
                </c:pt>
                <c:pt idx="71" formatCode="General">
                  <c:v>125</c:v>
                </c:pt>
                <c:pt idx="72" formatCode="General">
                  <c:v>135</c:v>
                </c:pt>
              </c:numCache>
            </c:numRef>
          </c:xVal>
          <c:yVal>
            <c:numRef>
              <c:f>Len_Sel_D!#REF!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0"/>
          <c:order val="20"/>
          <c:tx>
            <c:strRef>
              <c:f>Len_Sel_D!#REF!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Len_Sel_D!$F$2:$BZ$2</c:f>
              <c:numCache>
                <c:formatCode>0.00E+00</c:formatCode>
                <c:ptCount val="73"/>
                <c:pt idx="0">
                  <c:v>1.5</c:v>
                </c:pt>
                <c:pt idx="1">
                  <c:v>2.5</c:v>
                </c:pt>
                <c:pt idx="2">
                  <c:v>3.5</c:v>
                </c:pt>
                <c:pt idx="3">
                  <c:v>4.5</c:v>
                </c:pt>
                <c:pt idx="4">
                  <c:v>5.5</c:v>
                </c:pt>
                <c:pt idx="5">
                  <c:v>6.5</c:v>
                </c:pt>
                <c:pt idx="6">
                  <c:v>7.5</c:v>
                </c:pt>
                <c:pt idx="7">
                  <c:v>8.5</c:v>
                </c:pt>
                <c:pt idx="8">
                  <c:v>9.5</c:v>
                </c:pt>
                <c:pt idx="9" formatCode="General">
                  <c:v>10.5</c:v>
                </c:pt>
                <c:pt idx="10" formatCode="General">
                  <c:v>11.5</c:v>
                </c:pt>
                <c:pt idx="11" formatCode="General">
                  <c:v>12.5</c:v>
                </c:pt>
                <c:pt idx="12" formatCode="General">
                  <c:v>13.5</c:v>
                </c:pt>
                <c:pt idx="13" formatCode="General">
                  <c:v>14.5</c:v>
                </c:pt>
                <c:pt idx="14" formatCode="General">
                  <c:v>15.5</c:v>
                </c:pt>
                <c:pt idx="15" formatCode="General">
                  <c:v>16.5</c:v>
                </c:pt>
                <c:pt idx="16" formatCode="General">
                  <c:v>17.5</c:v>
                </c:pt>
                <c:pt idx="17" formatCode="General">
                  <c:v>18.5</c:v>
                </c:pt>
                <c:pt idx="18" formatCode="General">
                  <c:v>19.5</c:v>
                </c:pt>
                <c:pt idx="19" formatCode="General">
                  <c:v>20.5</c:v>
                </c:pt>
                <c:pt idx="20" formatCode="General">
                  <c:v>21.5</c:v>
                </c:pt>
                <c:pt idx="21" formatCode="General">
                  <c:v>22.5</c:v>
                </c:pt>
                <c:pt idx="22" formatCode="General">
                  <c:v>23.5</c:v>
                </c:pt>
                <c:pt idx="23" formatCode="General">
                  <c:v>24.5</c:v>
                </c:pt>
                <c:pt idx="24" formatCode="General">
                  <c:v>25.5</c:v>
                </c:pt>
                <c:pt idx="25" formatCode="General">
                  <c:v>26.5</c:v>
                </c:pt>
                <c:pt idx="26" formatCode="General">
                  <c:v>27.5</c:v>
                </c:pt>
                <c:pt idx="27" formatCode="General">
                  <c:v>28.5</c:v>
                </c:pt>
                <c:pt idx="28" formatCode="General">
                  <c:v>29.5</c:v>
                </c:pt>
                <c:pt idx="29" formatCode="General">
                  <c:v>30.5</c:v>
                </c:pt>
                <c:pt idx="30" formatCode="General">
                  <c:v>31.5</c:v>
                </c:pt>
                <c:pt idx="31" formatCode="General">
                  <c:v>32.5</c:v>
                </c:pt>
                <c:pt idx="32" formatCode="General">
                  <c:v>33.5</c:v>
                </c:pt>
                <c:pt idx="33" formatCode="General">
                  <c:v>34.5</c:v>
                </c:pt>
                <c:pt idx="34" formatCode="General">
                  <c:v>35.5</c:v>
                </c:pt>
                <c:pt idx="35" formatCode="General">
                  <c:v>36.5</c:v>
                </c:pt>
                <c:pt idx="36" formatCode="General">
                  <c:v>37.5</c:v>
                </c:pt>
                <c:pt idx="37" formatCode="General">
                  <c:v>38.5</c:v>
                </c:pt>
                <c:pt idx="38" formatCode="General">
                  <c:v>39.5</c:v>
                </c:pt>
                <c:pt idx="39" formatCode="General">
                  <c:v>41</c:v>
                </c:pt>
                <c:pt idx="40" formatCode="General">
                  <c:v>43</c:v>
                </c:pt>
                <c:pt idx="41" formatCode="General">
                  <c:v>45</c:v>
                </c:pt>
                <c:pt idx="42" formatCode="General">
                  <c:v>47</c:v>
                </c:pt>
                <c:pt idx="43" formatCode="General">
                  <c:v>49</c:v>
                </c:pt>
                <c:pt idx="44" formatCode="General">
                  <c:v>51</c:v>
                </c:pt>
                <c:pt idx="45" formatCode="General">
                  <c:v>53</c:v>
                </c:pt>
                <c:pt idx="46" formatCode="General">
                  <c:v>55</c:v>
                </c:pt>
                <c:pt idx="47" formatCode="General">
                  <c:v>57</c:v>
                </c:pt>
                <c:pt idx="48" formatCode="General">
                  <c:v>59</c:v>
                </c:pt>
                <c:pt idx="49" formatCode="General">
                  <c:v>61</c:v>
                </c:pt>
                <c:pt idx="50" formatCode="General">
                  <c:v>63</c:v>
                </c:pt>
                <c:pt idx="51" formatCode="General">
                  <c:v>65</c:v>
                </c:pt>
                <c:pt idx="52" formatCode="General">
                  <c:v>67</c:v>
                </c:pt>
                <c:pt idx="53" formatCode="General">
                  <c:v>69</c:v>
                </c:pt>
                <c:pt idx="54" formatCode="General">
                  <c:v>71</c:v>
                </c:pt>
                <c:pt idx="55" formatCode="General">
                  <c:v>73</c:v>
                </c:pt>
                <c:pt idx="56" formatCode="General">
                  <c:v>75</c:v>
                </c:pt>
                <c:pt idx="57" formatCode="General">
                  <c:v>77</c:v>
                </c:pt>
                <c:pt idx="58" formatCode="General">
                  <c:v>79</c:v>
                </c:pt>
                <c:pt idx="59" formatCode="General">
                  <c:v>81</c:v>
                </c:pt>
                <c:pt idx="60" formatCode="General">
                  <c:v>83</c:v>
                </c:pt>
                <c:pt idx="61" formatCode="General">
                  <c:v>85</c:v>
                </c:pt>
                <c:pt idx="62" formatCode="General">
                  <c:v>87</c:v>
                </c:pt>
                <c:pt idx="63" formatCode="General">
                  <c:v>89</c:v>
                </c:pt>
                <c:pt idx="64" formatCode="General">
                  <c:v>91</c:v>
                </c:pt>
                <c:pt idx="65" formatCode="General">
                  <c:v>93</c:v>
                </c:pt>
                <c:pt idx="66" formatCode="General">
                  <c:v>95</c:v>
                </c:pt>
                <c:pt idx="67" formatCode="General">
                  <c:v>97</c:v>
                </c:pt>
                <c:pt idx="68" formatCode="General">
                  <c:v>99</c:v>
                </c:pt>
                <c:pt idx="69" formatCode="General">
                  <c:v>105</c:v>
                </c:pt>
                <c:pt idx="70" formatCode="General">
                  <c:v>115</c:v>
                </c:pt>
                <c:pt idx="71" formatCode="General">
                  <c:v>125</c:v>
                </c:pt>
                <c:pt idx="72" formatCode="General">
                  <c:v>135</c:v>
                </c:pt>
              </c:numCache>
            </c:numRef>
          </c:xVal>
          <c:yVal>
            <c:numRef>
              <c:f>Len_Sel_D!#REF!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1"/>
          <c:order val="21"/>
          <c:tx>
            <c:strRef>
              <c:f>Len_Sel_D!#REF!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Len_Sel_D!$F$2:$BZ$2</c:f>
              <c:numCache>
                <c:formatCode>0.00E+00</c:formatCode>
                <c:ptCount val="73"/>
                <c:pt idx="0">
                  <c:v>1.5</c:v>
                </c:pt>
                <c:pt idx="1">
                  <c:v>2.5</c:v>
                </c:pt>
                <c:pt idx="2">
                  <c:v>3.5</c:v>
                </c:pt>
                <c:pt idx="3">
                  <c:v>4.5</c:v>
                </c:pt>
                <c:pt idx="4">
                  <c:v>5.5</c:v>
                </c:pt>
                <c:pt idx="5">
                  <c:v>6.5</c:v>
                </c:pt>
                <c:pt idx="6">
                  <c:v>7.5</c:v>
                </c:pt>
                <c:pt idx="7">
                  <c:v>8.5</c:v>
                </c:pt>
                <c:pt idx="8">
                  <c:v>9.5</c:v>
                </c:pt>
                <c:pt idx="9" formatCode="General">
                  <c:v>10.5</c:v>
                </c:pt>
                <c:pt idx="10" formatCode="General">
                  <c:v>11.5</c:v>
                </c:pt>
                <c:pt idx="11" formatCode="General">
                  <c:v>12.5</c:v>
                </c:pt>
                <c:pt idx="12" formatCode="General">
                  <c:v>13.5</c:v>
                </c:pt>
                <c:pt idx="13" formatCode="General">
                  <c:v>14.5</c:v>
                </c:pt>
                <c:pt idx="14" formatCode="General">
                  <c:v>15.5</c:v>
                </c:pt>
                <c:pt idx="15" formatCode="General">
                  <c:v>16.5</c:v>
                </c:pt>
                <c:pt idx="16" formatCode="General">
                  <c:v>17.5</c:v>
                </c:pt>
                <c:pt idx="17" formatCode="General">
                  <c:v>18.5</c:v>
                </c:pt>
                <c:pt idx="18" formatCode="General">
                  <c:v>19.5</c:v>
                </c:pt>
                <c:pt idx="19" formatCode="General">
                  <c:v>20.5</c:v>
                </c:pt>
                <c:pt idx="20" formatCode="General">
                  <c:v>21.5</c:v>
                </c:pt>
                <c:pt idx="21" formatCode="General">
                  <c:v>22.5</c:v>
                </c:pt>
                <c:pt idx="22" formatCode="General">
                  <c:v>23.5</c:v>
                </c:pt>
                <c:pt idx="23" formatCode="General">
                  <c:v>24.5</c:v>
                </c:pt>
                <c:pt idx="24" formatCode="General">
                  <c:v>25.5</c:v>
                </c:pt>
                <c:pt idx="25" formatCode="General">
                  <c:v>26.5</c:v>
                </c:pt>
                <c:pt idx="26" formatCode="General">
                  <c:v>27.5</c:v>
                </c:pt>
                <c:pt idx="27" formatCode="General">
                  <c:v>28.5</c:v>
                </c:pt>
                <c:pt idx="28" formatCode="General">
                  <c:v>29.5</c:v>
                </c:pt>
                <c:pt idx="29" formatCode="General">
                  <c:v>30.5</c:v>
                </c:pt>
                <c:pt idx="30" formatCode="General">
                  <c:v>31.5</c:v>
                </c:pt>
                <c:pt idx="31" formatCode="General">
                  <c:v>32.5</c:v>
                </c:pt>
                <c:pt idx="32" formatCode="General">
                  <c:v>33.5</c:v>
                </c:pt>
                <c:pt idx="33" formatCode="General">
                  <c:v>34.5</c:v>
                </c:pt>
                <c:pt idx="34" formatCode="General">
                  <c:v>35.5</c:v>
                </c:pt>
                <c:pt idx="35" formatCode="General">
                  <c:v>36.5</c:v>
                </c:pt>
                <c:pt idx="36" formatCode="General">
                  <c:v>37.5</c:v>
                </c:pt>
                <c:pt idx="37" formatCode="General">
                  <c:v>38.5</c:v>
                </c:pt>
                <c:pt idx="38" formatCode="General">
                  <c:v>39.5</c:v>
                </c:pt>
                <c:pt idx="39" formatCode="General">
                  <c:v>41</c:v>
                </c:pt>
                <c:pt idx="40" formatCode="General">
                  <c:v>43</c:v>
                </c:pt>
                <c:pt idx="41" formatCode="General">
                  <c:v>45</c:v>
                </c:pt>
                <c:pt idx="42" formatCode="General">
                  <c:v>47</c:v>
                </c:pt>
                <c:pt idx="43" formatCode="General">
                  <c:v>49</c:v>
                </c:pt>
                <c:pt idx="44" formatCode="General">
                  <c:v>51</c:v>
                </c:pt>
                <c:pt idx="45" formatCode="General">
                  <c:v>53</c:v>
                </c:pt>
                <c:pt idx="46" formatCode="General">
                  <c:v>55</c:v>
                </c:pt>
                <c:pt idx="47" formatCode="General">
                  <c:v>57</c:v>
                </c:pt>
                <c:pt idx="48" formatCode="General">
                  <c:v>59</c:v>
                </c:pt>
                <c:pt idx="49" formatCode="General">
                  <c:v>61</c:v>
                </c:pt>
                <c:pt idx="50" formatCode="General">
                  <c:v>63</c:v>
                </c:pt>
                <c:pt idx="51" formatCode="General">
                  <c:v>65</c:v>
                </c:pt>
                <c:pt idx="52" formatCode="General">
                  <c:v>67</c:v>
                </c:pt>
                <c:pt idx="53" formatCode="General">
                  <c:v>69</c:v>
                </c:pt>
                <c:pt idx="54" formatCode="General">
                  <c:v>71</c:v>
                </c:pt>
                <c:pt idx="55" formatCode="General">
                  <c:v>73</c:v>
                </c:pt>
                <c:pt idx="56" formatCode="General">
                  <c:v>75</c:v>
                </c:pt>
                <c:pt idx="57" formatCode="General">
                  <c:v>77</c:v>
                </c:pt>
                <c:pt idx="58" formatCode="General">
                  <c:v>79</c:v>
                </c:pt>
                <c:pt idx="59" formatCode="General">
                  <c:v>81</c:v>
                </c:pt>
                <c:pt idx="60" formatCode="General">
                  <c:v>83</c:v>
                </c:pt>
                <c:pt idx="61" formatCode="General">
                  <c:v>85</c:v>
                </c:pt>
                <c:pt idx="62" formatCode="General">
                  <c:v>87</c:v>
                </c:pt>
                <c:pt idx="63" formatCode="General">
                  <c:v>89</c:v>
                </c:pt>
                <c:pt idx="64" formatCode="General">
                  <c:v>91</c:v>
                </c:pt>
                <c:pt idx="65" formatCode="General">
                  <c:v>93</c:v>
                </c:pt>
                <c:pt idx="66" formatCode="General">
                  <c:v>95</c:v>
                </c:pt>
                <c:pt idx="67" formatCode="General">
                  <c:v>97</c:v>
                </c:pt>
                <c:pt idx="68" formatCode="General">
                  <c:v>99</c:v>
                </c:pt>
                <c:pt idx="69" formatCode="General">
                  <c:v>105</c:v>
                </c:pt>
                <c:pt idx="70" formatCode="General">
                  <c:v>115</c:v>
                </c:pt>
                <c:pt idx="71" formatCode="General">
                  <c:v>125</c:v>
                </c:pt>
                <c:pt idx="72" formatCode="General">
                  <c:v>135</c:v>
                </c:pt>
              </c:numCache>
            </c:numRef>
          </c:xVal>
          <c:yVal>
            <c:numRef>
              <c:f>Len_Sel_D!#REF!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2"/>
          <c:order val="22"/>
          <c:tx>
            <c:strRef>
              <c:f>Len_Sel_D!#REF!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Len_Sel_D!$F$2:$BZ$2</c:f>
              <c:numCache>
                <c:formatCode>0.00E+00</c:formatCode>
                <c:ptCount val="73"/>
                <c:pt idx="0">
                  <c:v>1.5</c:v>
                </c:pt>
                <c:pt idx="1">
                  <c:v>2.5</c:v>
                </c:pt>
                <c:pt idx="2">
                  <c:v>3.5</c:v>
                </c:pt>
                <c:pt idx="3">
                  <c:v>4.5</c:v>
                </c:pt>
                <c:pt idx="4">
                  <c:v>5.5</c:v>
                </c:pt>
                <c:pt idx="5">
                  <c:v>6.5</c:v>
                </c:pt>
                <c:pt idx="6">
                  <c:v>7.5</c:v>
                </c:pt>
                <c:pt idx="7">
                  <c:v>8.5</c:v>
                </c:pt>
                <c:pt idx="8">
                  <c:v>9.5</c:v>
                </c:pt>
                <c:pt idx="9" formatCode="General">
                  <c:v>10.5</c:v>
                </c:pt>
                <c:pt idx="10" formatCode="General">
                  <c:v>11.5</c:v>
                </c:pt>
                <c:pt idx="11" formatCode="General">
                  <c:v>12.5</c:v>
                </c:pt>
                <c:pt idx="12" formatCode="General">
                  <c:v>13.5</c:v>
                </c:pt>
                <c:pt idx="13" formatCode="General">
                  <c:v>14.5</c:v>
                </c:pt>
                <c:pt idx="14" formatCode="General">
                  <c:v>15.5</c:v>
                </c:pt>
                <c:pt idx="15" formatCode="General">
                  <c:v>16.5</c:v>
                </c:pt>
                <c:pt idx="16" formatCode="General">
                  <c:v>17.5</c:v>
                </c:pt>
                <c:pt idx="17" formatCode="General">
                  <c:v>18.5</c:v>
                </c:pt>
                <c:pt idx="18" formatCode="General">
                  <c:v>19.5</c:v>
                </c:pt>
                <c:pt idx="19" formatCode="General">
                  <c:v>20.5</c:v>
                </c:pt>
                <c:pt idx="20" formatCode="General">
                  <c:v>21.5</c:v>
                </c:pt>
                <c:pt idx="21" formatCode="General">
                  <c:v>22.5</c:v>
                </c:pt>
                <c:pt idx="22" formatCode="General">
                  <c:v>23.5</c:v>
                </c:pt>
                <c:pt idx="23" formatCode="General">
                  <c:v>24.5</c:v>
                </c:pt>
                <c:pt idx="24" formatCode="General">
                  <c:v>25.5</c:v>
                </c:pt>
                <c:pt idx="25" formatCode="General">
                  <c:v>26.5</c:v>
                </c:pt>
                <c:pt idx="26" formatCode="General">
                  <c:v>27.5</c:v>
                </c:pt>
                <c:pt idx="27" formatCode="General">
                  <c:v>28.5</c:v>
                </c:pt>
                <c:pt idx="28" formatCode="General">
                  <c:v>29.5</c:v>
                </c:pt>
                <c:pt idx="29" formatCode="General">
                  <c:v>30.5</c:v>
                </c:pt>
                <c:pt idx="30" formatCode="General">
                  <c:v>31.5</c:v>
                </c:pt>
                <c:pt idx="31" formatCode="General">
                  <c:v>32.5</c:v>
                </c:pt>
                <c:pt idx="32" formatCode="General">
                  <c:v>33.5</c:v>
                </c:pt>
                <c:pt idx="33" formatCode="General">
                  <c:v>34.5</c:v>
                </c:pt>
                <c:pt idx="34" formatCode="General">
                  <c:v>35.5</c:v>
                </c:pt>
                <c:pt idx="35" formatCode="General">
                  <c:v>36.5</c:v>
                </c:pt>
                <c:pt idx="36" formatCode="General">
                  <c:v>37.5</c:v>
                </c:pt>
                <c:pt idx="37" formatCode="General">
                  <c:v>38.5</c:v>
                </c:pt>
                <c:pt idx="38" formatCode="General">
                  <c:v>39.5</c:v>
                </c:pt>
                <c:pt idx="39" formatCode="General">
                  <c:v>41</c:v>
                </c:pt>
                <c:pt idx="40" formatCode="General">
                  <c:v>43</c:v>
                </c:pt>
                <c:pt idx="41" formatCode="General">
                  <c:v>45</c:v>
                </c:pt>
                <c:pt idx="42" formatCode="General">
                  <c:v>47</c:v>
                </c:pt>
                <c:pt idx="43" formatCode="General">
                  <c:v>49</c:v>
                </c:pt>
                <c:pt idx="44" formatCode="General">
                  <c:v>51</c:v>
                </c:pt>
                <c:pt idx="45" formatCode="General">
                  <c:v>53</c:v>
                </c:pt>
                <c:pt idx="46" formatCode="General">
                  <c:v>55</c:v>
                </c:pt>
                <c:pt idx="47" formatCode="General">
                  <c:v>57</c:v>
                </c:pt>
                <c:pt idx="48" formatCode="General">
                  <c:v>59</c:v>
                </c:pt>
                <c:pt idx="49" formatCode="General">
                  <c:v>61</c:v>
                </c:pt>
                <c:pt idx="50" formatCode="General">
                  <c:v>63</c:v>
                </c:pt>
                <c:pt idx="51" formatCode="General">
                  <c:v>65</c:v>
                </c:pt>
                <c:pt idx="52" formatCode="General">
                  <c:v>67</c:v>
                </c:pt>
                <c:pt idx="53" formatCode="General">
                  <c:v>69</c:v>
                </c:pt>
                <c:pt idx="54" formatCode="General">
                  <c:v>71</c:v>
                </c:pt>
                <c:pt idx="55" formatCode="General">
                  <c:v>73</c:v>
                </c:pt>
                <c:pt idx="56" formatCode="General">
                  <c:v>75</c:v>
                </c:pt>
                <c:pt idx="57" formatCode="General">
                  <c:v>77</c:v>
                </c:pt>
                <c:pt idx="58" formatCode="General">
                  <c:v>79</c:v>
                </c:pt>
                <c:pt idx="59" formatCode="General">
                  <c:v>81</c:v>
                </c:pt>
                <c:pt idx="60" formatCode="General">
                  <c:v>83</c:v>
                </c:pt>
                <c:pt idx="61" formatCode="General">
                  <c:v>85</c:v>
                </c:pt>
                <c:pt idx="62" formatCode="General">
                  <c:v>87</c:v>
                </c:pt>
                <c:pt idx="63" formatCode="General">
                  <c:v>89</c:v>
                </c:pt>
                <c:pt idx="64" formatCode="General">
                  <c:v>91</c:v>
                </c:pt>
                <c:pt idx="65" formatCode="General">
                  <c:v>93</c:v>
                </c:pt>
                <c:pt idx="66" formatCode="General">
                  <c:v>95</c:v>
                </c:pt>
                <c:pt idx="67" formatCode="General">
                  <c:v>97</c:v>
                </c:pt>
                <c:pt idx="68" formatCode="General">
                  <c:v>99</c:v>
                </c:pt>
                <c:pt idx="69" formatCode="General">
                  <c:v>105</c:v>
                </c:pt>
                <c:pt idx="70" formatCode="General">
                  <c:v>115</c:v>
                </c:pt>
                <c:pt idx="71" formatCode="General">
                  <c:v>125</c:v>
                </c:pt>
                <c:pt idx="72" formatCode="General">
                  <c:v>135</c:v>
                </c:pt>
              </c:numCache>
            </c:numRef>
          </c:xVal>
          <c:yVal>
            <c:numRef>
              <c:f>Len_Sel_D!#REF!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3"/>
          <c:order val="23"/>
          <c:tx>
            <c:strRef>
              <c:f>Len_Sel_D!#REF!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Len_Sel_D!$F$2:$BZ$2</c:f>
              <c:numCache>
                <c:formatCode>0.00E+00</c:formatCode>
                <c:ptCount val="73"/>
                <c:pt idx="0">
                  <c:v>1.5</c:v>
                </c:pt>
                <c:pt idx="1">
                  <c:v>2.5</c:v>
                </c:pt>
                <c:pt idx="2">
                  <c:v>3.5</c:v>
                </c:pt>
                <c:pt idx="3">
                  <c:v>4.5</c:v>
                </c:pt>
                <c:pt idx="4">
                  <c:v>5.5</c:v>
                </c:pt>
                <c:pt idx="5">
                  <c:v>6.5</c:v>
                </c:pt>
                <c:pt idx="6">
                  <c:v>7.5</c:v>
                </c:pt>
                <c:pt idx="7">
                  <c:v>8.5</c:v>
                </c:pt>
                <c:pt idx="8">
                  <c:v>9.5</c:v>
                </c:pt>
                <c:pt idx="9" formatCode="General">
                  <c:v>10.5</c:v>
                </c:pt>
                <c:pt idx="10" formatCode="General">
                  <c:v>11.5</c:v>
                </c:pt>
                <c:pt idx="11" formatCode="General">
                  <c:v>12.5</c:v>
                </c:pt>
                <c:pt idx="12" formatCode="General">
                  <c:v>13.5</c:v>
                </c:pt>
                <c:pt idx="13" formatCode="General">
                  <c:v>14.5</c:v>
                </c:pt>
                <c:pt idx="14" formatCode="General">
                  <c:v>15.5</c:v>
                </c:pt>
                <c:pt idx="15" formatCode="General">
                  <c:v>16.5</c:v>
                </c:pt>
                <c:pt idx="16" formatCode="General">
                  <c:v>17.5</c:v>
                </c:pt>
                <c:pt idx="17" formatCode="General">
                  <c:v>18.5</c:v>
                </c:pt>
                <c:pt idx="18" formatCode="General">
                  <c:v>19.5</c:v>
                </c:pt>
                <c:pt idx="19" formatCode="General">
                  <c:v>20.5</c:v>
                </c:pt>
                <c:pt idx="20" formatCode="General">
                  <c:v>21.5</c:v>
                </c:pt>
                <c:pt idx="21" formatCode="General">
                  <c:v>22.5</c:v>
                </c:pt>
                <c:pt idx="22" formatCode="General">
                  <c:v>23.5</c:v>
                </c:pt>
                <c:pt idx="23" formatCode="General">
                  <c:v>24.5</c:v>
                </c:pt>
                <c:pt idx="24" formatCode="General">
                  <c:v>25.5</c:v>
                </c:pt>
                <c:pt idx="25" formatCode="General">
                  <c:v>26.5</c:v>
                </c:pt>
                <c:pt idx="26" formatCode="General">
                  <c:v>27.5</c:v>
                </c:pt>
                <c:pt idx="27" formatCode="General">
                  <c:v>28.5</c:v>
                </c:pt>
                <c:pt idx="28" formatCode="General">
                  <c:v>29.5</c:v>
                </c:pt>
                <c:pt idx="29" formatCode="General">
                  <c:v>30.5</c:v>
                </c:pt>
                <c:pt idx="30" formatCode="General">
                  <c:v>31.5</c:v>
                </c:pt>
                <c:pt idx="31" formatCode="General">
                  <c:v>32.5</c:v>
                </c:pt>
                <c:pt idx="32" formatCode="General">
                  <c:v>33.5</c:v>
                </c:pt>
                <c:pt idx="33" formatCode="General">
                  <c:v>34.5</c:v>
                </c:pt>
                <c:pt idx="34" formatCode="General">
                  <c:v>35.5</c:v>
                </c:pt>
                <c:pt idx="35" formatCode="General">
                  <c:v>36.5</c:v>
                </c:pt>
                <c:pt idx="36" formatCode="General">
                  <c:v>37.5</c:v>
                </c:pt>
                <c:pt idx="37" formatCode="General">
                  <c:v>38.5</c:v>
                </c:pt>
                <c:pt idx="38" formatCode="General">
                  <c:v>39.5</c:v>
                </c:pt>
                <c:pt idx="39" formatCode="General">
                  <c:v>41</c:v>
                </c:pt>
                <c:pt idx="40" formatCode="General">
                  <c:v>43</c:v>
                </c:pt>
                <c:pt idx="41" formatCode="General">
                  <c:v>45</c:v>
                </c:pt>
                <c:pt idx="42" formatCode="General">
                  <c:v>47</c:v>
                </c:pt>
                <c:pt idx="43" formatCode="General">
                  <c:v>49</c:v>
                </c:pt>
                <c:pt idx="44" formatCode="General">
                  <c:v>51</c:v>
                </c:pt>
                <c:pt idx="45" formatCode="General">
                  <c:v>53</c:v>
                </c:pt>
                <c:pt idx="46" formatCode="General">
                  <c:v>55</c:v>
                </c:pt>
                <c:pt idx="47" formatCode="General">
                  <c:v>57</c:v>
                </c:pt>
                <c:pt idx="48" formatCode="General">
                  <c:v>59</c:v>
                </c:pt>
                <c:pt idx="49" formatCode="General">
                  <c:v>61</c:v>
                </c:pt>
                <c:pt idx="50" formatCode="General">
                  <c:v>63</c:v>
                </c:pt>
                <c:pt idx="51" formatCode="General">
                  <c:v>65</c:v>
                </c:pt>
                <c:pt idx="52" formatCode="General">
                  <c:v>67</c:v>
                </c:pt>
                <c:pt idx="53" formatCode="General">
                  <c:v>69</c:v>
                </c:pt>
                <c:pt idx="54" formatCode="General">
                  <c:v>71</c:v>
                </c:pt>
                <c:pt idx="55" formatCode="General">
                  <c:v>73</c:v>
                </c:pt>
                <c:pt idx="56" formatCode="General">
                  <c:v>75</c:v>
                </c:pt>
                <c:pt idx="57" formatCode="General">
                  <c:v>77</c:v>
                </c:pt>
                <c:pt idx="58" formatCode="General">
                  <c:v>79</c:v>
                </c:pt>
                <c:pt idx="59" formatCode="General">
                  <c:v>81</c:v>
                </c:pt>
                <c:pt idx="60" formatCode="General">
                  <c:v>83</c:v>
                </c:pt>
                <c:pt idx="61" formatCode="General">
                  <c:v>85</c:v>
                </c:pt>
                <c:pt idx="62" formatCode="General">
                  <c:v>87</c:v>
                </c:pt>
                <c:pt idx="63" formatCode="General">
                  <c:v>89</c:v>
                </c:pt>
                <c:pt idx="64" formatCode="General">
                  <c:v>91</c:v>
                </c:pt>
                <c:pt idx="65" formatCode="General">
                  <c:v>93</c:v>
                </c:pt>
                <c:pt idx="66" formatCode="General">
                  <c:v>95</c:v>
                </c:pt>
                <c:pt idx="67" formatCode="General">
                  <c:v>97</c:v>
                </c:pt>
                <c:pt idx="68" formatCode="General">
                  <c:v>99</c:v>
                </c:pt>
                <c:pt idx="69" formatCode="General">
                  <c:v>105</c:v>
                </c:pt>
                <c:pt idx="70" formatCode="General">
                  <c:v>115</c:v>
                </c:pt>
                <c:pt idx="71" formatCode="General">
                  <c:v>125</c:v>
                </c:pt>
                <c:pt idx="72" formatCode="General">
                  <c:v>135</c:v>
                </c:pt>
              </c:numCache>
            </c:numRef>
          </c:xVal>
          <c:yVal>
            <c:numRef>
              <c:f>Len_Sel_D!#REF!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4"/>
          <c:order val="24"/>
          <c:tx>
            <c:strRef>
              <c:f>Len_Sel_D!#REF!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Len_Sel_D!$F$2:$BZ$2</c:f>
              <c:numCache>
                <c:formatCode>0.00E+00</c:formatCode>
                <c:ptCount val="73"/>
                <c:pt idx="0">
                  <c:v>1.5</c:v>
                </c:pt>
                <c:pt idx="1">
                  <c:v>2.5</c:v>
                </c:pt>
                <c:pt idx="2">
                  <c:v>3.5</c:v>
                </c:pt>
                <c:pt idx="3">
                  <c:v>4.5</c:v>
                </c:pt>
                <c:pt idx="4">
                  <c:v>5.5</c:v>
                </c:pt>
                <c:pt idx="5">
                  <c:v>6.5</c:v>
                </c:pt>
                <c:pt idx="6">
                  <c:v>7.5</c:v>
                </c:pt>
                <c:pt idx="7">
                  <c:v>8.5</c:v>
                </c:pt>
                <c:pt idx="8">
                  <c:v>9.5</c:v>
                </c:pt>
                <c:pt idx="9" formatCode="General">
                  <c:v>10.5</c:v>
                </c:pt>
                <c:pt idx="10" formatCode="General">
                  <c:v>11.5</c:v>
                </c:pt>
                <c:pt idx="11" formatCode="General">
                  <c:v>12.5</c:v>
                </c:pt>
                <c:pt idx="12" formatCode="General">
                  <c:v>13.5</c:v>
                </c:pt>
                <c:pt idx="13" formatCode="General">
                  <c:v>14.5</c:v>
                </c:pt>
                <c:pt idx="14" formatCode="General">
                  <c:v>15.5</c:v>
                </c:pt>
                <c:pt idx="15" formatCode="General">
                  <c:v>16.5</c:v>
                </c:pt>
                <c:pt idx="16" formatCode="General">
                  <c:v>17.5</c:v>
                </c:pt>
                <c:pt idx="17" formatCode="General">
                  <c:v>18.5</c:v>
                </c:pt>
                <c:pt idx="18" formatCode="General">
                  <c:v>19.5</c:v>
                </c:pt>
                <c:pt idx="19" formatCode="General">
                  <c:v>20.5</c:v>
                </c:pt>
                <c:pt idx="20" formatCode="General">
                  <c:v>21.5</c:v>
                </c:pt>
                <c:pt idx="21" formatCode="General">
                  <c:v>22.5</c:v>
                </c:pt>
                <c:pt idx="22" formatCode="General">
                  <c:v>23.5</c:v>
                </c:pt>
                <c:pt idx="23" formatCode="General">
                  <c:v>24.5</c:v>
                </c:pt>
                <c:pt idx="24" formatCode="General">
                  <c:v>25.5</c:v>
                </c:pt>
                <c:pt idx="25" formatCode="General">
                  <c:v>26.5</c:v>
                </c:pt>
                <c:pt idx="26" formatCode="General">
                  <c:v>27.5</c:v>
                </c:pt>
                <c:pt idx="27" formatCode="General">
                  <c:v>28.5</c:v>
                </c:pt>
                <c:pt idx="28" formatCode="General">
                  <c:v>29.5</c:v>
                </c:pt>
                <c:pt idx="29" formatCode="General">
                  <c:v>30.5</c:v>
                </c:pt>
                <c:pt idx="30" formatCode="General">
                  <c:v>31.5</c:v>
                </c:pt>
                <c:pt idx="31" formatCode="General">
                  <c:v>32.5</c:v>
                </c:pt>
                <c:pt idx="32" formatCode="General">
                  <c:v>33.5</c:v>
                </c:pt>
                <c:pt idx="33" formatCode="General">
                  <c:v>34.5</c:v>
                </c:pt>
                <c:pt idx="34" formatCode="General">
                  <c:v>35.5</c:v>
                </c:pt>
                <c:pt idx="35" formatCode="General">
                  <c:v>36.5</c:v>
                </c:pt>
                <c:pt idx="36" formatCode="General">
                  <c:v>37.5</c:v>
                </c:pt>
                <c:pt idx="37" formatCode="General">
                  <c:v>38.5</c:v>
                </c:pt>
                <c:pt idx="38" formatCode="General">
                  <c:v>39.5</c:v>
                </c:pt>
                <c:pt idx="39" formatCode="General">
                  <c:v>41</c:v>
                </c:pt>
                <c:pt idx="40" formatCode="General">
                  <c:v>43</c:v>
                </c:pt>
                <c:pt idx="41" formatCode="General">
                  <c:v>45</c:v>
                </c:pt>
                <c:pt idx="42" formatCode="General">
                  <c:v>47</c:v>
                </c:pt>
                <c:pt idx="43" formatCode="General">
                  <c:v>49</c:v>
                </c:pt>
                <c:pt idx="44" formatCode="General">
                  <c:v>51</c:v>
                </c:pt>
                <c:pt idx="45" formatCode="General">
                  <c:v>53</c:v>
                </c:pt>
                <c:pt idx="46" formatCode="General">
                  <c:v>55</c:v>
                </c:pt>
                <c:pt idx="47" formatCode="General">
                  <c:v>57</c:v>
                </c:pt>
                <c:pt idx="48" formatCode="General">
                  <c:v>59</c:v>
                </c:pt>
                <c:pt idx="49" formatCode="General">
                  <c:v>61</c:v>
                </c:pt>
                <c:pt idx="50" formatCode="General">
                  <c:v>63</c:v>
                </c:pt>
                <c:pt idx="51" formatCode="General">
                  <c:v>65</c:v>
                </c:pt>
                <c:pt idx="52" formatCode="General">
                  <c:v>67</c:v>
                </c:pt>
                <c:pt idx="53" formatCode="General">
                  <c:v>69</c:v>
                </c:pt>
                <c:pt idx="54" formatCode="General">
                  <c:v>71</c:v>
                </c:pt>
                <c:pt idx="55" formatCode="General">
                  <c:v>73</c:v>
                </c:pt>
                <c:pt idx="56" formatCode="General">
                  <c:v>75</c:v>
                </c:pt>
                <c:pt idx="57" formatCode="General">
                  <c:v>77</c:v>
                </c:pt>
                <c:pt idx="58" formatCode="General">
                  <c:v>79</c:v>
                </c:pt>
                <c:pt idx="59" formatCode="General">
                  <c:v>81</c:v>
                </c:pt>
                <c:pt idx="60" formatCode="General">
                  <c:v>83</c:v>
                </c:pt>
                <c:pt idx="61" formatCode="General">
                  <c:v>85</c:v>
                </c:pt>
                <c:pt idx="62" formatCode="General">
                  <c:v>87</c:v>
                </c:pt>
                <c:pt idx="63" formatCode="General">
                  <c:v>89</c:v>
                </c:pt>
                <c:pt idx="64" formatCode="General">
                  <c:v>91</c:v>
                </c:pt>
                <c:pt idx="65" formatCode="General">
                  <c:v>93</c:v>
                </c:pt>
                <c:pt idx="66" formatCode="General">
                  <c:v>95</c:v>
                </c:pt>
                <c:pt idx="67" formatCode="General">
                  <c:v>97</c:v>
                </c:pt>
                <c:pt idx="68" formatCode="General">
                  <c:v>99</c:v>
                </c:pt>
                <c:pt idx="69" formatCode="General">
                  <c:v>105</c:v>
                </c:pt>
                <c:pt idx="70" formatCode="General">
                  <c:v>115</c:v>
                </c:pt>
                <c:pt idx="71" formatCode="General">
                  <c:v>125</c:v>
                </c:pt>
                <c:pt idx="72" formatCode="General">
                  <c:v>135</c:v>
                </c:pt>
              </c:numCache>
            </c:numRef>
          </c:xVal>
          <c:yVal>
            <c:numRef>
              <c:f>Len_Sel_D!#REF!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58464"/>
        <c:axId val="235359040"/>
      </c:scatterChart>
      <c:valAx>
        <c:axId val="235358464"/>
        <c:scaling>
          <c:orientation val="minMax"/>
        </c:scaling>
        <c:delete val="0"/>
        <c:axPos val="b"/>
        <c:numFmt formatCode="0.00E+00" sourceLinked="1"/>
        <c:majorTickMark val="out"/>
        <c:minorTickMark val="none"/>
        <c:tickLblPos val="nextTo"/>
        <c:crossAx val="235359040"/>
        <c:crosses val="autoZero"/>
        <c:crossBetween val="midCat"/>
      </c:valAx>
      <c:valAx>
        <c:axId val="23535904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2353584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Age_Sel_D!$G$3</c:f>
              <c:strCache>
                <c:ptCount val="1"/>
                <c:pt idx="0">
                  <c:v>1957_1Asel</c:v>
                </c:pt>
              </c:strCache>
            </c:strRef>
          </c:tx>
          <c:marker>
            <c:symbol val="none"/>
          </c:marker>
          <c:xVal>
            <c:numRef>
              <c:f>Age_Sel_D!$H$2:$T$2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Age_Sel_D!$H$3:$T$3</c:f>
              <c:numCache>
                <c:formatCode>General</c:formatCode>
                <c:ptCount val="13"/>
                <c:pt idx="0">
                  <c:v>0</c:v>
                </c:pt>
                <c:pt idx="1">
                  <c:v>0.18268400000000001</c:v>
                </c:pt>
                <c:pt idx="2">
                  <c:v>0.272532</c:v>
                </c:pt>
                <c:pt idx="3">
                  <c:v>0.496585</c:v>
                </c:pt>
                <c:pt idx="4">
                  <c:v>0.74081799999999998</c:v>
                </c:pt>
                <c:pt idx="5">
                  <c:v>0.904837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Age_Sel_D!$G$4</c:f>
              <c:strCache>
                <c:ptCount val="1"/>
                <c:pt idx="0">
                  <c:v>2008_1Asel</c:v>
                </c:pt>
              </c:strCache>
            </c:strRef>
          </c:tx>
          <c:marker>
            <c:symbol val="none"/>
          </c:marker>
          <c:xVal>
            <c:numRef>
              <c:f>Age_Sel_D!$H$2:$T$2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Age_Sel_D!$H$4:$T$4</c:f>
              <c:numCache>
                <c:formatCode>General</c:formatCode>
                <c:ptCount val="13"/>
                <c:pt idx="0">
                  <c:v>0</c:v>
                </c:pt>
                <c:pt idx="1">
                  <c:v>0.18268400000000001</c:v>
                </c:pt>
                <c:pt idx="2">
                  <c:v>0.272532</c:v>
                </c:pt>
                <c:pt idx="3">
                  <c:v>0.496585</c:v>
                </c:pt>
                <c:pt idx="4">
                  <c:v>0.74081799999999998</c:v>
                </c:pt>
                <c:pt idx="5">
                  <c:v>0.904837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Age_Sel_D!$G$5</c:f>
              <c:strCache>
                <c:ptCount val="1"/>
                <c:pt idx="0">
                  <c:v>2009_1Asel</c:v>
                </c:pt>
              </c:strCache>
            </c:strRef>
          </c:tx>
          <c:marker>
            <c:symbol val="none"/>
          </c:marker>
          <c:xVal>
            <c:numRef>
              <c:f>Age_Sel_D!$H$2:$T$2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Age_Sel_D!$H$5:$T$5</c:f>
              <c:numCache>
                <c:formatCode>General</c:formatCode>
                <c:ptCount val="13"/>
                <c:pt idx="0">
                  <c:v>0</c:v>
                </c:pt>
                <c:pt idx="1">
                  <c:v>0.18268400000000001</c:v>
                </c:pt>
                <c:pt idx="2">
                  <c:v>0.272532</c:v>
                </c:pt>
                <c:pt idx="3">
                  <c:v>0.496585</c:v>
                </c:pt>
                <c:pt idx="4">
                  <c:v>0.74081799999999998</c:v>
                </c:pt>
                <c:pt idx="5">
                  <c:v>0.904837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Age_Sel_D!$G$6</c:f>
              <c:strCache>
                <c:ptCount val="1"/>
                <c:pt idx="0">
                  <c:v>1957_2Asel</c:v>
                </c:pt>
              </c:strCache>
            </c:strRef>
          </c:tx>
          <c:marker>
            <c:symbol val="none"/>
          </c:marker>
          <c:xVal>
            <c:numRef>
              <c:f>Age_Sel_D!$H$2:$T$2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Age_Sel_D!$H$6:$T$6</c:f>
              <c:numCache>
                <c:formatCode>General</c:formatCode>
                <c:ptCount val="13"/>
                <c:pt idx="0">
                  <c:v>0</c:v>
                </c:pt>
                <c:pt idx="1">
                  <c:v>0.18268400000000001</c:v>
                </c:pt>
                <c:pt idx="2">
                  <c:v>0.272532</c:v>
                </c:pt>
                <c:pt idx="3">
                  <c:v>0.496585</c:v>
                </c:pt>
                <c:pt idx="4">
                  <c:v>0.74081799999999998</c:v>
                </c:pt>
                <c:pt idx="5">
                  <c:v>0.904837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Age_Sel_D!$G$7</c:f>
              <c:strCache>
                <c:ptCount val="1"/>
                <c:pt idx="0">
                  <c:v>2008_2Asel</c:v>
                </c:pt>
              </c:strCache>
            </c:strRef>
          </c:tx>
          <c:marker>
            <c:symbol val="none"/>
          </c:marker>
          <c:xVal>
            <c:numRef>
              <c:f>Age_Sel_D!$H$2:$T$2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Age_Sel_D!$H$7:$T$7</c:f>
              <c:numCache>
                <c:formatCode>General</c:formatCode>
                <c:ptCount val="13"/>
                <c:pt idx="0">
                  <c:v>0</c:v>
                </c:pt>
                <c:pt idx="1">
                  <c:v>0.18268400000000001</c:v>
                </c:pt>
                <c:pt idx="2">
                  <c:v>0.272532</c:v>
                </c:pt>
                <c:pt idx="3">
                  <c:v>0.496585</c:v>
                </c:pt>
                <c:pt idx="4">
                  <c:v>0.74081799999999998</c:v>
                </c:pt>
                <c:pt idx="5">
                  <c:v>0.904837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Age_Sel_D!#REF!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Age_Sel_D!$H$2:$T$2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Age_Sel_D!#REF!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Age_Sel_D!#REF!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Age_Sel_D!$H$2:$T$2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Age_Sel_D!#REF!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Age_Sel_D!#REF!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Age_Sel_D!$H$2:$T$2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Age_Sel_D!#REF!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Age_Sel_D!#REF!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Age_Sel_D!$H$2:$T$2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Age_Sel_D!#REF!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Age_Sel_D!#REF!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Age_Sel_D!$H$2:$T$2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Age_Sel_D!#REF!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Age_Sel_D!#REF!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Age_Sel_D!$H$2:$T$2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Age_Sel_D!#REF!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61920"/>
        <c:axId val="235362496"/>
      </c:scatterChart>
      <c:valAx>
        <c:axId val="235361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5362496"/>
        <c:crosses val="autoZero"/>
        <c:crossBetween val="midCat"/>
      </c:valAx>
      <c:valAx>
        <c:axId val="235362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3619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Discard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0070C0"/>
                </a:solidFill>
              </a:ln>
            </c:spPr>
          </c:marker>
          <c:xVal>
            <c:numRef>
              <c:f>Discard!Yr</c:f>
              <c:numCache>
                <c:formatCode>General</c:formatCode>
                <c:ptCount val="2"/>
              </c:numCache>
            </c:numRef>
          </c:xVal>
          <c:yVal>
            <c:numRef>
              <c:f>Discard!delete_OBS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1"/>
          <c:order val="1"/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</c:spPr>
          </c:marker>
          <c:xVal>
            <c:numRef>
              <c:f>Discard!Yr</c:f>
              <c:numCache>
                <c:formatCode>General</c:formatCode>
                <c:ptCount val="2"/>
              </c:numCache>
            </c:numRef>
          </c:xVal>
          <c:yVal>
            <c:numRef>
              <c:f>Discard!OBS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2"/>
          <c:order val="2"/>
          <c:spPr>
            <a:ln>
              <a:noFill/>
            </a:ln>
          </c:spPr>
          <c:marker>
            <c:symbol val="dash"/>
            <c:size val="7"/>
            <c:spPr>
              <a:solidFill>
                <a:srgbClr val="0070C0"/>
              </a:solidFill>
            </c:spPr>
          </c:marker>
          <c:xVal>
            <c:numRef>
              <c:f>Discard!Yr</c:f>
              <c:numCache>
                <c:formatCode>General</c:formatCode>
                <c:ptCount val="2"/>
              </c:numCache>
            </c:numRef>
          </c:xVal>
          <c:yVal>
            <c:numRef>
              <c:f>Discard!se2_low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"/>
          <c:order val="3"/>
          <c:spPr>
            <a:ln>
              <a:noFill/>
            </a:ln>
          </c:spPr>
          <c:marker>
            <c:symbol val="dash"/>
            <c:size val="7"/>
          </c:marker>
          <c:xVal>
            <c:numRef>
              <c:f>Discard!Yr</c:f>
              <c:numCache>
                <c:formatCode>General</c:formatCode>
                <c:ptCount val="2"/>
              </c:numCache>
            </c:numRef>
          </c:xVal>
          <c:yVal>
            <c:numRef>
              <c:f>Discard!se2_hi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"/>
          <c:order val="4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Discard!Yr</c:f>
              <c:numCache>
                <c:formatCode>General</c:formatCode>
                <c:ptCount val="2"/>
              </c:numCache>
            </c:numRef>
          </c:xVal>
          <c:yVal>
            <c:numRef>
              <c:f>Discard!Exp</c:f>
              <c:numCache>
                <c:formatCode>General</c:formatCode>
                <c:ptCount val="2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179712"/>
        <c:axId val="75180288"/>
      </c:scatterChart>
      <c:valAx>
        <c:axId val="75179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5180288"/>
        <c:crosses val="autoZero"/>
        <c:crossBetween val="midCat"/>
      </c:valAx>
      <c:valAx>
        <c:axId val="751802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75179712"/>
        <c:crosses val="autoZero"/>
        <c:crossBetween val="midCat"/>
      </c:valAx>
    </c:plotArea>
    <c:plotVisOnly val="1"/>
    <c:dispBlanksAs val="gap"/>
    <c:showDLblsOverMax val="0"/>
  </c:chart>
  <c:printSettings>
    <c:headerFooter alignWithMargins="0"/>
    <c:pageMargins b="1" l="0.75000000000000455" r="0.75000000000000455" t="1" header="0.5" footer="0.5"/>
    <c:pageSetup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Body Wt.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BODYWT!$P$4</c:f>
              <c:strCache>
                <c:ptCount val="1"/>
                <c:pt idx="0">
                  <c:v>delete_OBS</c:v>
                </c:pt>
              </c:strCache>
            </c:strRef>
          </c:tx>
          <c:spPr>
            <a:ln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0070C0"/>
                </a:solidFill>
              </a:ln>
            </c:spPr>
          </c:marker>
          <c:xVal>
            <c:numRef>
              <c:f>BODYWT!$B$5:$B$7</c:f>
              <c:numCache>
                <c:formatCode>General</c:formatCode>
                <c:ptCount val="3"/>
              </c:numCache>
            </c:numRef>
          </c:xVal>
          <c:yVal>
            <c:numRef>
              <c:f>BODYWT!$P$5:$P$7</c:f>
              <c:numCache>
                <c:formatCode>General</c:formatCode>
                <c:ptCount val="3"/>
                <c:pt idx="0">
                  <c:v>#N/A</c:v>
                </c:pt>
              </c:numCache>
            </c:numRef>
          </c:yVal>
          <c:smooth val="0"/>
        </c:ser>
        <c:ser>
          <c:idx val="1"/>
          <c:order val="1"/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</c:spPr>
          </c:marker>
          <c:xVal>
            <c:numRef>
              <c:f>BODYWT!Yr</c:f>
              <c:numCache>
                <c:formatCode>General</c:formatCode>
                <c:ptCount val="1"/>
              </c:numCache>
            </c:numRef>
          </c:xVal>
          <c:yVal>
            <c:numRef>
              <c:f>BODYWT!OBS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spPr>
            <a:ln>
              <a:noFill/>
            </a:ln>
          </c:spPr>
          <c:marker>
            <c:symbol val="dash"/>
            <c:size val="7"/>
            <c:spPr>
              <a:solidFill>
                <a:srgbClr val="0070C0"/>
              </a:solidFill>
            </c:spPr>
          </c:marker>
          <c:xVal>
            <c:numRef>
              <c:f>BODYWT!Yr</c:f>
              <c:numCache>
                <c:formatCode>General</c:formatCode>
                <c:ptCount val="1"/>
              </c:numCache>
            </c:numRef>
          </c:xVal>
          <c:yVal>
            <c:numRef>
              <c:f>BODYWT!se2_low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3"/>
          <c:order val="3"/>
          <c:spPr>
            <a:ln>
              <a:noFill/>
            </a:ln>
          </c:spPr>
          <c:marker>
            <c:symbol val="dash"/>
            <c:size val="7"/>
          </c:marker>
          <c:xVal>
            <c:numRef>
              <c:f>BODYWT!Yr</c:f>
              <c:numCache>
                <c:formatCode>General</c:formatCode>
                <c:ptCount val="1"/>
              </c:numCache>
            </c:numRef>
          </c:xVal>
          <c:yVal>
            <c:numRef>
              <c:f>BODYWT!se2_hi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4"/>
          <c:order val="4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BODYWT!Yr</c:f>
              <c:numCache>
                <c:formatCode>General</c:formatCode>
                <c:ptCount val="1"/>
              </c:numCache>
            </c:numRef>
          </c:xVal>
          <c:yVal>
            <c:numRef>
              <c:f>BODYWT!Exp</c:f>
              <c:numCache>
                <c:formatCode>General</c:formatCode>
                <c:ptCount val="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182592"/>
        <c:axId val="75183168"/>
      </c:scatterChart>
      <c:valAx>
        <c:axId val="75182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5183168"/>
        <c:crosses val="autoZero"/>
        <c:crossBetween val="midCat"/>
      </c:valAx>
      <c:valAx>
        <c:axId val="751831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75182592"/>
        <c:crosses val="autoZero"/>
        <c:crossBetween val="midCat"/>
      </c:valAx>
    </c:plotArea>
    <c:plotVisOnly val="1"/>
    <c:dispBlanksAs val="gap"/>
    <c:showDLblsOverMax val="0"/>
  </c:chart>
  <c:printSettings>
    <c:headerFooter alignWithMargins="0"/>
    <c:pageMargins b="1" l="0.75000000000000477" r="0.75000000000000477" t="1" header="0.5" footer="0.5"/>
    <c:pageSetup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60307827763615"/>
          <c:y val="4.3411625037253432E-2"/>
          <c:w val="0.78981850198661241"/>
          <c:h val="0.82958592670497511"/>
        </c:manualLayout>
      </c:layout>
      <c:scatterChart>
        <c:scatterStyle val="lineMarker"/>
        <c:varyColors val="0"/>
        <c:ser>
          <c:idx val="1"/>
          <c:order val="1"/>
          <c:tx>
            <c:v>Apical_F</c:v>
          </c:tx>
          <c:marker>
            <c:symbol val="none"/>
          </c:marker>
          <c:xVal>
            <c:numRef>
              <c:f>Annual_F!Year</c:f>
              <c:numCache>
                <c:formatCode>General</c:formatCode>
                <c:ptCount val="2"/>
                <c:pt idx="0">
                  <c:v>1971</c:v>
                </c:pt>
                <c:pt idx="1">
                  <c:v>1972</c:v>
                </c:pt>
              </c:numCache>
            </c:numRef>
          </c:xVal>
          <c:yVal>
            <c:numRef>
              <c:f>Annual_F!Apical_F</c:f>
              <c:numCache>
                <c:formatCode>0.00</c:formatCode>
                <c:ptCount val="2"/>
                <c:pt idx="0">
                  <c:v>0.18984799999999999</c:v>
                </c:pt>
                <c:pt idx="1">
                  <c:v>0.239395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871680"/>
        <c:axId val="236872256"/>
      </c:scatterChart>
      <c:scatterChart>
        <c:scatterStyle val="lineMarker"/>
        <c:varyColors val="0"/>
        <c:ser>
          <c:idx val="0"/>
          <c:order val="0"/>
          <c:tx>
            <c:v>Ave_F</c:v>
          </c:tx>
          <c:marker>
            <c:symbol val="none"/>
          </c:marker>
          <c:xVal>
            <c:numRef>
              <c:f>Annual_F!Year</c:f>
              <c:numCache>
                <c:formatCode>General</c:formatCode>
                <c:ptCount val="2"/>
                <c:pt idx="0">
                  <c:v>1971</c:v>
                </c:pt>
                <c:pt idx="1">
                  <c:v>1972</c:v>
                </c:pt>
              </c:numCache>
            </c:numRef>
          </c:xVal>
          <c:yVal>
            <c:numRef>
              <c:f>Annual_F!Ave_F</c:f>
              <c:numCache>
                <c:formatCode>0.00</c:formatCode>
                <c:ptCount val="2"/>
                <c:pt idx="0">
                  <c:v>0.16844583333333332</c:v>
                </c:pt>
                <c:pt idx="1">
                  <c:v>0.21240699999999998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873408"/>
        <c:axId val="236872832"/>
      </c:scatterChart>
      <c:valAx>
        <c:axId val="236871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6872256"/>
        <c:crosses val="autoZero"/>
        <c:crossBetween val="midCat"/>
      </c:valAx>
      <c:valAx>
        <c:axId val="236872256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crossAx val="236871680"/>
        <c:crosses val="autoZero"/>
        <c:crossBetween val="midCat"/>
      </c:valAx>
      <c:valAx>
        <c:axId val="236872832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236873408"/>
        <c:crosses val="max"/>
        <c:crossBetween val="midCat"/>
      </c:valAx>
      <c:valAx>
        <c:axId val="2368734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23687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833865512032"/>
          <c:y val="6.1748004325091234E-2"/>
          <c:w val="0.18181185950482359"/>
          <c:h val="0.141410900904673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82174103237124"/>
          <c:y val="5.1400554097404488E-2"/>
          <c:w val="0.73492585301838254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Annual!$H$8</c:f>
              <c:strCache>
                <c:ptCount val="1"/>
                <c:pt idx="0">
                  <c:v>SPR_std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1971</c:v>
                </c:pt>
                <c:pt idx="1">
                  <c:v>1972</c:v>
                </c:pt>
              </c:numCache>
            </c:numRef>
          </c:xVal>
          <c:yVal>
            <c:numRef>
              <c:f>Annual!SPR_std</c:f>
              <c:numCache>
                <c:formatCode>General</c:formatCode>
                <c:ptCount val="2"/>
                <c:pt idx="1">
                  <c:v>3.9207899999999997E-2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875136"/>
        <c:axId val="236875712"/>
      </c:scatterChart>
      <c:scatterChart>
        <c:scatterStyle val="lineMarker"/>
        <c:varyColors val="0"/>
        <c:ser>
          <c:idx val="1"/>
          <c:order val="1"/>
          <c:tx>
            <c:strRef>
              <c:f>Annual!$L$8</c:f>
              <c:strCache>
                <c:ptCount val="1"/>
                <c:pt idx="0">
                  <c:v>F_std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1971</c:v>
                </c:pt>
                <c:pt idx="1">
                  <c:v>1972</c:v>
                </c:pt>
              </c:numCache>
            </c:numRef>
          </c:xVal>
          <c:yVal>
            <c:numRef>
              <c:f>Annual!F_std</c:f>
              <c:numCache>
                <c:formatCode>General</c:formatCode>
                <c:ptCount val="2"/>
                <c:pt idx="1">
                  <c:v>1.8605500000000001E-2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876864"/>
        <c:axId val="236876288"/>
      </c:scatterChart>
      <c:valAx>
        <c:axId val="236875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6875712"/>
        <c:crosses val="autoZero"/>
        <c:crossBetween val="midCat"/>
      </c:valAx>
      <c:valAx>
        <c:axId val="236875712"/>
        <c:scaling>
          <c:orientation val="minMax"/>
        </c:scaling>
        <c:delete val="0"/>
        <c:axPos val="l"/>
        <c:numFmt formatCode="#,##0.00" sourceLinked="0"/>
        <c:majorTickMark val="out"/>
        <c:minorTickMark val="none"/>
        <c:tickLblPos val="nextTo"/>
        <c:crossAx val="236875136"/>
        <c:crosses val="autoZero"/>
        <c:crossBetween val="midCat"/>
      </c:valAx>
      <c:valAx>
        <c:axId val="236876288"/>
        <c:scaling>
          <c:orientation val="minMax"/>
        </c:scaling>
        <c:delete val="0"/>
        <c:axPos val="r"/>
        <c:numFmt formatCode="#,##0.00" sourceLinked="0"/>
        <c:majorTickMark val="out"/>
        <c:minorTickMark val="none"/>
        <c:tickLblPos val="nextTo"/>
        <c:crossAx val="236876864"/>
        <c:crosses val="max"/>
        <c:crossBetween val="midCat"/>
      </c:valAx>
      <c:valAx>
        <c:axId val="236876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236876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938333065363595"/>
          <c:y val="9.6838178246587095E-2"/>
          <c:w val="0.2981344354097743"/>
          <c:h val="0.22780567523399187"/>
        </c:manualLayout>
      </c:layout>
      <c:overlay val="0"/>
    </c:legend>
    <c:plotVisOnly val="1"/>
    <c:dispBlanksAs val="gap"/>
    <c:showDLblsOverMax val="0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3714750</xdr:colOff>
      <xdr:row>2</xdr:row>
      <xdr:rowOff>130968</xdr:rowOff>
    </xdr:to>
    <xdr:sp macro="" textlink="">
      <xdr:nvSpPr>
        <xdr:cNvPr id="2" name="TextBox 1"/>
        <xdr:cNvSpPr txBox="1"/>
      </xdr:nvSpPr>
      <xdr:spPr>
        <a:xfrm>
          <a:off x="0" y="0"/>
          <a:ext cx="3714750" cy="511968"/>
        </a:xfrm>
        <a:prstGeom prst="rect">
          <a:avLst/>
        </a:prstGeom>
        <a:solidFill>
          <a:srgbClr val="FF996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/>
            <a:t>error message will display if more than 32,000 records are copied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38100</xdr:rowOff>
        </xdr:from>
        <xdr:to>
          <xdr:col>3</xdr:col>
          <xdr:colOff>266700</xdr:colOff>
          <xdr:row>2</xdr:row>
          <xdr:rowOff>123825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Filtered Rows to Agecomp Display Page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9525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REPORT.SSO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</xdr:row>
          <xdr:rowOff>114300</xdr:rowOff>
        </xdr:from>
        <xdr:to>
          <xdr:col>3</xdr:col>
          <xdr:colOff>28575</xdr:colOff>
          <xdr:row>13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REPORT.SSO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16</xdr:row>
          <xdr:rowOff>114300</xdr:rowOff>
        </xdr:from>
        <xdr:to>
          <xdr:col>3</xdr:col>
          <xdr:colOff>9525</xdr:colOff>
          <xdr:row>19</xdr:row>
          <xdr:rowOff>9525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CompReport.SSO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24</xdr:row>
          <xdr:rowOff>9525</xdr:rowOff>
        </xdr:from>
        <xdr:to>
          <xdr:col>3</xdr:col>
          <xdr:colOff>9525</xdr:colOff>
          <xdr:row>26</xdr:row>
          <xdr:rowOff>161925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Clean_Up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38100</xdr:rowOff>
    </xdr:from>
    <xdr:to>
      <xdr:col>7</xdr:col>
      <xdr:colOff>171450</xdr:colOff>
      <xdr:row>0</xdr:row>
      <xdr:rowOff>2581275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15</xdr:col>
      <xdr:colOff>152400</xdr:colOff>
      <xdr:row>0</xdr:row>
      <xdr:rowOff>2543175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0</xdr:rowOff>
    </xdr:from>
    <xdr:to>
      <xdr:col>5</xdr:col>
      <xdr:colOff>0</xdr:colOff>
      <xdr:row>1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9</xdr:col>
      <xdr:colOff>590549</xdr:colOff>
      <xdr:row>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</xdr:row>
      <xdr:rowOff>0</xdr:rowOff>
    </xdr:from>
    <xdr:to>
      <xdr:col>4</xdr:col>
      <xdr:colOff>590549</xdr:colOff>
      <xdr:row>1</xdr:row>
      <xdr:rowOff>1514475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1</xdr:row>
      <xdr:rowOff>0</xdr:rowOff>
    </xdr:from>
    <xdr:to>
      <xdr:col>9</xdr:col>
      <xdr:colOff>590549</xdr:colOff>
      <xdr:row>1</xdr:row>
      <xdr:rowOff>1514475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1</xdr:rowOff>
    </xdr:from>
    <xdr:to>
      <xdr:col>6</xdr:col>
      <xdr:colOff>508000</xdr:colOff>
      <xdr:row>0</xdr:row>
      <xdr:rowOff>2667001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0</xdr:row>
      <xdr:rowOff>21167</xdr:rowOff>
    </xdr:from>
    <xdr:to>
      <xdr:col>13</xdr:col>
      <xdr:colOff>411692</xdr:colOff>
      <xdr:row>0</xdr:row>
      <xdr:rowOff>2628901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0</xdr:rowOff>
    </xdr:from>
    <xdr:to>
      <xdr:col>15</xdr:col>
      <xdr:colOff>57150</xdr:colOff>
      <xdr:row>1</xdr:row>
      <xdr:rowOff>4724400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590550</xdr:colOff>
      <xdr:row>0</xdr:row>
      <xdr:rowOff>2076450</xdr:rowOff>
    </xdr:from>
    <xdr:to>
      <xdr:col>41</xdr:col>
      <xdr:colOff>95250</xdr:colOff>
      <xdr:row>1</xdr:row>
      <xdr:rowOff>2076450</xdr:rowOff>
    </xdr:to>
    <xdr:graphicFrame macro="">
      <xdr:nvGraphicFramePr>
        <xdr:cNvPr id="3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19050</xdr:colOff>
      <xdr:row>0</xdr:row>
      <xdr:rowOff>0</xdr:rowOff>
    </xdr:from>
    <xdr:to>
      <xdr:col>22</xdr:col>
      <xdr:colOff>590550</xdr:colOff>
      <xdr:row>1</xdr:row>
      <xdr:rowOff>0</xdr:rowOff>
    </xdr:to>
    <xdr:graphicFrame macro="">
      <xdr:nvGraphicFramePr>
        <xdr:cNvPr id="4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</xdr:row>
      <xdr:rowOff>0</xdr:rowOff>
    </xdr:from>
    <xdr:to>
      <xdr:col>23</xdr:col>
      <xdr:colOff>0</xdr:colOff>
      <xdr:row>2</xdr:row>
      <xdr:rowOff>0</xdr:rowOff>
    </xdr:to>
    <xdr:graphicFrame macro="">
      <xdr:nvGraphicFramePr>
        <xdr:cNvPr id="5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10</xdr:col>
      <xdr:colOff>0</xdr:colOff>
      <xdr:row>1</xdr:row>
      <xdr:rowOff>0</xdr:rowOff>
    </xdr:to>
    <xdr:graphicFrame macro="">
      <xdr:nvGraphicFramePr>
        <xdr:cNvPr id="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</xdr:row>
      <xdr:rowOff>0</xdr:rowOff>
    </xdr:from>
    <xdr:to>
      <xdr:col>10</xdr:col>
      <xdr:colOff>0</xdr:colOff>
      <xdr:row>2</xdr:row>
      <xdr:rowOff>0</xdr:rowOff>
    </xdr:to>
    <xdr:graphicFrame macro="">
      <xdr:nvGraphicFramePr>
        <xdr:cNvPr id="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0.16823</cdr:x>
      <cdr:y>0.98186</cdr:y>
    </cdr:from>
    <cdr:to>
      <cdr:x>0.30183</cdr:x>
      <cdr:y>0.98381</cdr:y>
    </cdr:to>
    <cdr:sp macro="" textlink="">
      <cdr:nvSpPr>
        <cdr:cNvPr id="307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546289" y="4052679"/>
          <a:ext cx="1225439" cy="805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solid means obs &lt; exp</a:t>
          </a:r>
        </a:p>
      </cdr:txBody>
    </cdr:sp>
  </cdr:relSizeAnchor>
  <cdr:relSizeAnchor xmlns:cdr="http://schemas.openxmlformats.org/drawingml/2006/chartDrawing">
    <cdr:from>
      <cdr:x>0.16823</cdr:x>
      <cdr:y>0.97478</cdr:y>
    </cdr:from>
    <cdr:to>
      <cdr:x>0.31964</cdr:x>
      <cdr:y>0.9782</cdr:y>
    </cdr:to>
    <cdr:sp macro="" textlink="">
      <cdr:nvSpPr>
        <cdr:cNvPr id="307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546289" y="4023468"/>
          <a:ext cx="1388831" cy="141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Scaling:  residual=1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495300</xdr:colOff>
      <xdr:row>0</xdr:row>
      <xdr:rowOff>123825</xdr:rowOff>
    </xdr:from>
    <xdr:to>
      <xdr:col>21</xdr:col>
      <xdr:colOff>228600</xdr:colOff>
      <xdr:row>35</xdr:row>
      <xdr:rowOff>76200</xdr:rowOff>
    </xdr:to>
    <xdr:graphicFrame macro="">
      <xdr:nvGraphicFramePr>
        <xdr:cNvPr id="2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180975</xdr:rowOff>
        </xdr:from>
        <xdr:to>
          <xdr:col>8</xdr:col>
          <xdr:colOff>323850</xdr:colOff>
          <xdr:row>3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Filtered Range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Len_Sel_D(isplay)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0</xdr:colOff>
      <xdr:row>1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9525</xdr:rowOff>
        </xdr:from>
        <xdr:to>
          <xdr:col>8</xdr:col>
          <xdr:colOff>28575</xdr:colOff>
          <xdr:row>2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Filtered Range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Age_Sel_D(isplay)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590550</xdr:colOff>
      <xdr:row>1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0</xdr:row>
      <xdr:rowOff>276225</xdr:rowOff>
    </xdr:from>
    <xdr:to>
      <xdr:col>10</xdr:col>
      <xdr:colOff>257175</xdr:colOff>
      <xdr:row>0</xdr:row>
      <xdr:rowOff>3019425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228600</xdr:colOff>
      <xdr:row>0</xdr:row>
      <xdr:rowOff>247650</xdr:rowOff>
    </xdr:from>
    <xdr:to>
      <xdr:col>9</xdr:col>
      <xdr:colOff>533400</xdr:colOff>
      <xdr:row>0</xdr:row>
      <xdr:rowOff>2990850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0</xdr:row>
      <xdr:rowOff>28575</xdr:rowOff>
    </xdr:from>
    <xdr:to>
      <xdr:col>8</xdr:col>
      <xdr:colOff>238124</xdr:colOff>
      <xdr:row>0</xdr:row>
      <xdr:rowOff>3276599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266700</xdr:colOff>
      <xdr:row>0</xdr:row>
      <xdr:rowOff>28575</xdr:rowOff>
    </xdr:from>
    <xdr:to>
      <xdr:col>15</xdr:col>
      <xdr:colOff>371475</xdr:colOff>
      <xdr:row>0</xdr:row>
      <xdr:rowOff>3286125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</xdr:row>
          <xdr:rowOff>28575</xdr:rowOff>
        </xdr:from>
        <xdr:to>
          <xdr:col>6</xdr:col>
          <xdr:colOff>85725</xdr:colOff>
          <xdr:row>3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Table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ompReport" adjustColumnWidth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Report_1" growShrinkType="overwriteClear" adjustColumnWidth="0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6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AR30"/>
  <sheetViews>
    <sheetView zoomScale="80" zoomScaleNormal="80" workbookViewId="0"/>
  </sheetViews>
  <sheetFormatPr defaultRowHeight="15" x14ac:dyDescent="0.25"/>
  <cols>
    <col min="1" max="1" width="27.42578125" customWidth="1"/>
    <col min="2" max="2" width="20" customWidth="1"/>
    <col min="3" max="3" width="7.7109375" customWidth="1"/>
    <col min="4" max="4" width="6" customWidth="1"/>
    <col min="5" max="5" width="11.85546875" bestFit="1" customWidth="1"/>
    <col min="6" max="6" width="11" bestFit="1" customWidth="1"/>
    <col min="7" max="7" width="10.140625" bestFit="1" customWidth="1"/>
    <col min="8" max="8" width="7.42578125" customWidth="1"/>
    <col min="9" max="9" width="7.5703125" customWidth="1"/>
    <col min="10" max="10" width="8.7109375" customWidth="1"/>
    <col min="11" max="11" width="7.42578125" customWidth="1"/>
    <col min="12" max="12" width="6" customWidth="1"/>
    <col min="13" max="13" width="9" customWidth="1"/>
    <col min="14" max="14" width="12" bestFit="1" customWidth="1"/>
    <col min="15" max="15" width="12.7109375" bestFit="1" customWidth="1"/>
    <col min="16" max="17" width="8" customWidth="1"/>
    <col min="18" max="18" width="12.7109375" bestFit="1" customWidth="1"/>
    <col min="20" max="20" width="12" bestFit="1" customWidth="1"/>
    <col min="21" max="1005" width="6" customWidth="1"/>
  </cols>
  <sheetData>
    <row r="2" spans="1:44" x14ac:dyDescent="0.25">
      <c r="F2" s="18" t="s">
        <v>312</v>
      </c>
    </row>
    <row r="4" spans="1:44" x14ac:dyDescent="0.25">
      <c r="A4" t="s">
        <v>375</v>
      </c>
    </row>
    <row r="5" spans="1:44" x14ac:dyDescent="0.25">
      <c r="A5" t="s">
        <v>376</v>
      </c>
      <c r="E5" s="7"/>
    </row>
    <row r="6" spans="1:44" x14ac:dyDescent="0.25">
      <c r="A6" t="s">
        <v>212</v>
      </c>
      <c r="B6" t="s">
        <v>377</v>
      </c>
      <c r="C6" t="s">
        <v>378</v>
      </c>
      <c r="D6">
        <v>24</v>
      </c>
      <c r="E6" s="7">
        <v>0.80031249999999998</v>
      </c>
      <c r="F6">
        <v>2012</v>
      </c>
      <c r="J6" s="7"/>
    </row>
    <row r="8" spans="1:44" x14ac:dyDescent="0.25">
      <c r="A8" t="s">
        <v>333</v>
      </c>
    </row>
    <row r="9" spans="1:44" x14ac:dyDescent="0.25">
      <c r="A9" t="s">
        <v>187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  <c r="X9">
        <v>23</v>
      </c>
      <c r="Y9">
        <v>24</v>
      </c>
      <c r="Z9">
        <v>25</v>
      </c>
      <c r="AA9">
        <v>26</v>
      </c>
      <c r="AB9">
        <v>27</v>
      </c>
      <c r="AC9">
        <v>28</v>
      </c>
      <c r="AD9">
        <v>29</v>
      </c>
      <c r="AE9">
        <v>30</v>
      </c>
      <c r="AF9">
        <v>31</v>
      </c>
      <c r="AG9">
        <v>32</v>
      </c>
      <c r="AH9">
        <v>33</v>
      </c>
      <c r="AI9">
        <v>34</v>
      </c>
      <c r="AJ9">
        <v>35</v>
      </c>
      <c r="AK9">
        <v>36</v>
      </c>
      <c r="AL9">
        <v>37</v>
      </c>
      <c r="AM9">
        <v>38</v>
      </c>
      <c r="AN9">
        <v>39</v>
      </c>
      <c r="AO9">
        <v>40</v>
      </c>
      <c r="AP9">
        <v>41</v>
      </c>
      <c r="AQ9">
        <v>42</v>
      </c>
      <c r="AR9">
        <v>43</v>
      </c>
    </row>
    <row r="10" spans="1:44" x14ac:dyDescent="0.25">
      <c r="A10" t="s">
        <v>54</v>
      </c>
      <c r="B10">
        <v>10</v>
      </c>
      <c r="C10">
        <v>12</v>
      </c>
      <c r="D10">
        <v>14</v>
      </c>
      <c r="E10">
        <v>16</v>
      </c>
      <c r="F10">
        <v>18</v>
      </c>
      <c r="G10">
        <v>20</v>
      </c>
      <c r="H10">
        <v>22</v>
      </c>
      <c r="I10">
        <v>24</v>
      </c>
      <c r="J10">
        <v>26</v>
      </c>
      <c r="K10">
        <v>28</v>
      </c>
      <c r="L10">
        <v>30</v>
      </c>
      <c r="M10">
        <v>32</v>
      </c>
      <c r="N10">
        <v>34</v>
      </c>
      <c r="O10">
        <v>36</v>
      </c>
      <c r="P10">
        <v>38</v>
      </c>
      <c r="Q10">
        <v>40</v>
      </c>
      <c r="R10">
        <v>42</v>
      </c>
      <c r="S10">
        <v>44</v>
      </c>
      <c r="T10">
        <v>46</v>
      </c>
      <c r="U10">
        <v>48</v>
      </c>
      <c r="V10">
        <v>50</v>
      </c>
      <c r="W10">
        <v>52</v>
      </c>
      <c r="X10">
        <v>54</v>
      </c>
      <c r="Y10">
        <v>56</v>
      </c>
      <c r="Z10">
        <v>58</v>
      </c>
      <c r="AA10">
        <v>60</v>
      </c>
      <c r="AB10">
        <v>62</v>
      </c>
      <c r="AC10">
        <v>64</v>
      </c>
      <c r="AD10">
        <v>66</v>
      </c>
      <c r="AE10">
        <v>68</v>
      </c>
      <c r="AF10">
        <v>70</v>
      </c>
      <c r="AG10">
        <v>72</v>
      </c>
      <c r="AH10">
        <v>74</v>
      </c>
      <c r="AI10">
        <v>76</v>
      </c>
      <c r="AJ10">
        <v>78</v>
      </c>
      <c r="AK10">
        <v>80</v>
      </c>
      <c r="AL10">
        <v>82</v>
      </c>
      <c r="AM10">
        <v>84</v>
      </c>
      <c r="AN10">
        <v>86</v>
      </c>
      <c r="AO10">
        <v>88</v>
      </c>
      <c r="AP10">
        <v>90</v>
      </c>
      <c r="AQ10">
        <v>92</v>
      </c>
      <c r="AR10">
        <v>94</v>
      </c>
    </row>
    <row r="11" spans="1:44" x14ac:dyDescent="0.25">
      <c r="A11" t="s">
        <v>55</v>
      </c>
      <c r="B11">
        <v>11</v>
      </c>
      <c r="C11">
        <v>13</v>
      </c>
      <c r="D11">
        <v>15</v>
      </c>
      <c r="E11">
        <v>17</v>
      </c>
      <c r="F11">
        <v>19</v>
      </c>
      <c r="G11">
        <v>21</v>
      </c>
      <c r="H11">
        <v>23</v>
      </c>
      <c r="I11">
        <v>25</v>
      </c>
      <c r="J11">
        <v>27</v>
      </c>
      <c r="K11">
        <v>29</v>
      </c>
      <c r="L11">
        <v>31</v>
      </c>
      <c r="M11">
        <v>33</v>
      </c>
      <c r="N11">
        <v>35</v>
      </c>
      <c r="O11">
        <v>37</v>
      </c>
      <c r="P11">
        <v>39</v>
      </c>
      <c r="Q11">
        <v>41</v>
      </c>
      <c r="R11">
        <v>43</v>
      </c>
      <c r="S11">
        <v>45</v>
      </c>
      <c r="T11">
        <v>47</v>
      </c>
      <c r="U11">
        <v>49</v>
      </c>
      <c r="V11">
        <v>51</v>
      </c>
      <c r="W11">
        <v>53</v>
      </c>
      <c r="X11">
        <v>55</v>
      </c>
      <c r="Y11">
        <v>57</v>
      </c>
      <c r="Z11">
        <v>59</v>
      </c>
      <c r="AA11">
        <v>61</v>
      </c>
      <c r="AB11">
        <v>63</v>
      </c>
      <c r="AC11">
        <v>65</v>
      </c>
      <c r="AD11">
        <v>67</v>
      </c>
      <c r="AE11">
        <v>69</v>
      </c>
      <c r="AF11">
        <v>71</v>
      </c>
      <c r="AG11">
        <v>73</v>
      </c>
      <c r="AH11">
        <v>75</v>
      </c>
      <c r="AI11">
        <v>77</v>
      </c>
      <c r="AJ11">
        <v>79</v>
      </c>
      <c r="AK11">
        <v>81</v>
      </c>
      <c r="AL11">
        <v>83</v>
      </c>
      <c r="AM11">
        <v>85</v>
      </c>
      <c r="AN11">
        <v>87</v>
      </c>
      <c r="AO11">
        <v>89</v>
      </c>
      <c r="AP11">
        <v>91</v>
      </c>
      <c r="AQ11">
        <v>93</v>
      </c>
      <c r="AR11">
        <v>95</v>
      </c>
    </row>
    <row r="12" spans="1:44" x14ac:dyDescent="0.25">
      <c r="A12" t="s">
        <v>334</v>
      </c>
    </row>
    <row r="13" spans="1:44" x14ac:dyDescent="0.25">
      <c r="A13" t="s">
        <v>188</v>
      </c>
      <c r="B13">
        <v>1</v>
      </c>
      <c r="C13">
        <v>2</v>
      </c>
      <c r="D13">
        <v>3</v>
      </c>
      <c r="E13">
        <v>4</v>
      </c>
      <c r="F13">
        <v>5</v>
      </c>
      <c r="G13">
        <v>6</v>
      </c>
      <c r="H13">
        <v>7</v>
      </c>
      <c r="I13">
        <v>8</v>
      </c>
      <c r="J13">
        <v>9</v>
      </c>
      <c r="K13">
        <v>10</v>
      </c>
      <c r="L13">
        <v>11</v>
      </c>
      <c r="M13">
        <v>12</v>
      </c>
      <c r="N13">
        <v>13</v>
      </c>
      <c r="O13">
        <v>14</v>
      </c>
      <c r="P13">
        <v>15</v>
      </c>
      <c r="Q13">
        <v>16</v>
      </c>
      <c r="R13">
        <v>17</v>
      </c>
      <c r="S13">
        <v>18</v>
      </c>
      <c r="T13">
        <v>19</v>
      </c>
      <c r="U13">
        <v>20</v>
      </c>
      <c r="V13">
        <v>21</v>
      </c>
      <c r="W13">
        <v>22</v>
      </c>
      <c r="X13">
        <v>23</v>
      </c>
      <c r="Y13">
        <v>24</v>
      </c>
      <c r="Z13">
        <v>25</v>
      </c>
    </row>
    <row r="14" spans="1:44" x14ac:dyDescent="0.25">
      <c r="A14" t="s">
        <v>54</v>
      </c>
      <c r="B14">
        <v>26</v>
      </c>
      <c r="C14">
        <v>28</v>
      </c>
      <c r="D14">
        <v>30</v>
      </c>
      <c r="E14">
        <v>32</v>
      </c>
      <c r="F14">
        <v>34</v>
      </c>
      <c r="G14">
        <v>36</v>
      </c>
      <c r="H14">
        <v>38</v>
      </c>
      <c r="I14">
        <v>40</v>
      </c>
      <c r="J14">
        <v>42</v>
      </c>
      <c r="K14">
        <v>44</v>
      </c>
      <c r="L14">
        <v>46</v>
      </c>
      <c r="M14">
        <v>48</v>
      </c>
      <c r="N14">
        <v>50</v>
      </c>
      <c r="O14">
        <v>52</v>
      </c>
      <c r="P14">
        <v>54</v>
      </c>
      <c r="Q14">
        <v>56</v>
      </c>
      <c r="R14">
        <v>58</v>
      </c>
      <c r="S14">
        <v>60</v>
      </c>
      <c r="T14">
        <v>62</v>
      </c>
      <c r="U14">
        <v>64</v>
      </c>
      <c r="V14">
        <v>68</v>
      </c>
      <c r="W14">
        <v>72</v>
      </c>
      <c r="X14">
        <v>76</v>
      </c>
      <c r="Y14">
        <v>80</v>
      </c>
      <c r="Z14">
        <v>90</v>
      </c>
    </row>
    <row r="15" spans="1:44" x14ac:dyDescent="0.25">
      <c r="A15" t="s">
        <v>55</v>
      </c>
      <c r="B15">
        <v>27</v>
      </c>
      <c r="C15">
        <v>29</v>
      </c>
      <c r="D15">
        <v>31</v>
      </c>
      <c r="E15">
        <v>33</v>
      </c>
      <c r="F15">
        <v>35</v>
      </c>
      <c r="G15">
        <v>37</v>
      </c>
      <c r="H15">
        <v>39</v>
      </c>
      <c r="I15">
        <v>41</v>
      </c>
      <c r="J15">
        <v>43</v>
      </c>
      <c r="K15">
        <v>45</v>
      </c>
      <c r="L15">
        <v>47</v>
      </c>
      <c r="M15">
        <v>49</v>
      </c>
      <c r="N15">
        <v>51</v>
      </c>
      <c r="O15">
        <v>53</v>
      </c>
      <c r="P15">
        <v>55</v>
      </c>
      <c r="Q15">
        <v>57</v>
      </c>
      <c r="R15">
        <v>59</v>
      </c>
      <c r="S15">
        <v>61</v>
      </c>
      <c r="T15">
        <v>63</v>
      </c>
      <c r="U15">
        <v>66</v>
      </c>
      <c r="V15">
        <v>70</v>
      </c>
      <c r="W15">
        <v>74</v>
      </c>
      <c r="X15">
        <v>78</v>
      </c>
      <c r="Y15">
        <v>85</v>
      </c>
      <c r="Z15">
        <v>95</v>
      </c>
    </row>
    <row r="16" spans="1:44" x14ac:dyDescent="0.25">
      <c r="A16" t="s">
        <v>189</v>
      </c>
      <c r="B16">
        <v>0</v>
      </c>
    </row>
    <row r="17" spans="1:22" x14ac:dyDescent="0.25">
      <c r="A17" t="s">
        <v>56</v>
      </c>
      <c r="B17">
        <v>1</v>
      </c>
      <c r="C17" t="s">
        <v>358</v>
      </c>
      <c r="D17">
        <v>1</v>
      </c>
    </row>
    <row r="18" spans="1:22" x14ac:dyDescent="0.25">
      <c r="A18" t="s">
        <v>57</v>
      </c>
      <c r="B18">
        <v>1</v>
      </c>
    </row>
    <row r="19" spans="1:22" x14ac:dyDescent="0.25">
      <c r="A19" t="s">
        <v>335</v>
      </c>
    </row>
    <row r="20" spans="1:22" x14ac:dyDescent="0.25">
      <c r="A20" t="s">
        <v>336</v>
      </c>
    </row>
    <row r="21" spans="1:22" x14ac:dyDescent="0.25">
      <c r="A21" t="s">
        <v>337</v>
      </c>
    </row>
    <row r="23" spans="1:22" x14ac:dyDescent="0.25">
      <c r="A23" t="s">
        <v>58</v>
      </c>
      <c r="M23" s="8"/>
      <c r="N23" s="8"/>
      <c r="O23" s="8"/>
      <c r="R23" s="8"/>
      <c r="S23" s="8"/>
      <c r="T23" s="8"/>
    </row>
    <row r="24" spans="1:22" x14ac:dyDescent="0.25">
      <c r="A24" t="s">
        <v>3</v>
      </c>
      <c r="B24" t="s">
        <v>2</v>
      </c>
      <c r="C24" t="s">
        <v>0</v>
      </c>
      <c r="D24" t="s">
        <v>13</v>
      </c>
      <c r="E24" t="s">
        <v>14</v>
      </c>
      <c r="F24" t="s">
        <v>15</v>
      </c>
      <c r="G24" t="s">
        <v>16</v>
      </c>
      <c r="H24" t="s">
        <v>9</v>
      </c>
      <c r="I24" t="s">
        <v>1</v>
      </c>
      <c r="J24" t="s">
        <v>10</v>
      </c>
      <c r="K24" t="s">
        <v>11</v>
      </c>
      <c r="L24" t="s">
        <v>12</v>
      </c>
      <c r="M24" s="8" t="s">
        <v>4</v>
      </c>
      <c r="N24" s="8" t="s">
        <v>5</v>
      </c>
      <c r="O24" t="s">
        <v>17</v>
      </c>
      <c r="P24" t="s">
        <v>7</v>
      </c>
      <c r="Q24" t="s">
        <v>8</v>
      </c>
      <c r="R24" s="8" t="s">
        <v>6</v>
      </c>
      <c r="S24" s="8" t="s">
        <v>190</v>
      </c>
      <c r="T24" s="8" t="s">
        <v>18</v>
      </c>
      <c r="U24" t="s">
        <v>332</v>
      </c>
      <c r="V24" t="s">
        <v>330</v>
      </c>
    </row>
    <row r="25" spans="1:22" x14ac:dyDescent="0.25">
      <c r="A25">
        <v>1971</v>
      </c>
      <c r="B25">
        <v>1</v>
      </c>
      <c r="C25">
        <v>1</v>
      </c>
      <c r="D25">
        <v>1</v>
      </c>
      <c r="E25">
        <v>3</v>
      </c>
      <c r="F25" t="s">
        <v>338</v>
      </c>
      <c r="G25">
        <v>0</v>
      </c>
      <c r="H25">
        <v>0</v>
      </c>
      <c r="I25">
        <v>1</v>
      </c>
      <c r="J25">
        <v>1</v>
      </c>
      <c r="K25">
        <v>1</v>
      </c>
      <c r="L25">
        <v>44</v>
      </c>
      <c r="M25" s="8">
        <v>3.2000000000000001E-2</v>
      </c>
      <c r="N25">
        <v>2.6785099999999999E-2</v>
      </c>
      <c r="O25">
        <v>0.36111700000000002</v>
      </c>
      <c r="P25">
        <v>125</v>
      </c>
      <c r="Q25">
        <v>115.36799999999999</v>
      </c>
      <c r="R25" s="8">
        <v>0.711557</v>
      </c>
      <c r="S25" s="8">
        <v>3.2000000000000001E-2</v>
      </c>
      <c r="T25">
        <v>2.6785099999999999E-2</v>
      </c>
      <c r="U25" t="s">
        <v>226</v>
      </c>
      <c r="V25" t="s">
        <v>226</v>
      </c>
    </row>
    <row r="26" spans="1:22" x14ac:dyDescent="0.25">
      <c r="A26">
        <v>1971</v>
      </c>
      <c r="B26">
        <v>1</v>
      </c>
      <c r="C26">
        <v>1</v>
      </c>
      <c r="D26">
        <v>1</v>
      </c>
      <c r="E26">
        <v>3</v>
      </c>
      <c r="F26" t="s">
        <v>338</v>
      </c>
      <c r="G26">
        <v>0</v>
      </c>
      <c r="H26">
        <v>0</v>
      </c>
      <c r="I26">
        <v>1</v>
      </c>
      <c r="J26">
        <v>1</v>
      </c>
      <c r="K26">
        <v>1</v>
      </c>
      <c r="L26">
        <v>46</v>
      </c>
      <c r="M26" s="8">
        <v>8.0000799999999997E-3</v>
      </c>
      <c r="N26" s="8">
        <v>9.2317900000000001E-3</v>
      </c>
      <c r="O26" s="8">
        <v>-0.14399100000000001</v>
      </c>
      <c r="P26">
        <v>125</v>
      </c>
      <c r="Q26">
        <v>115.36799999999999</v>
      </c>
      <c r="R26" s="8">
        <v>-0.143203</v>
      </c>
      <c r="S26" s="8">
        <v>4.0000099999999997E-2</v>
      </c>
      <c r="T26" s="8">
        <v>3.6016899999999998E-2</v>
      </c>
      <c r="U26" s="8" t="s">
        <v>226</v>
      </c>
      <c r="V26" t="s">
        <v>226</v>
      </c>
    </row>
    <row r="27" spans="1:22" x14ac:dyDescent="0.25">
      <c r="A27">
        <v>1971</v>
      </c>
      <c r="B27">
        <v>1</v>
      </c>
      <c r="C27">
        <v>1</v>
      </c>
      <c r="D27">
        <v>1</v>
      </c>
      <c r="E27">
        <v>3</v>
      </c>
      <c r="F27" t="s">
        <v>338</v>
      </c>
      <c r="G27">
        <v>0</v>
      </c>
      <c r="H27">
        <v>0</v>
      </c>
      <c r="I27">
        <v>1</v>
      </c>
      <c r="J27">
        <v>1</v>
      </c>
      <c r="K27">
        <v>1</v>
      </c>
      <c r="L27">
        <v>48</v>
      </c>
      <c r="M27">
        <v>8.0000799999999997E-3</v>
      </c>
      <c r="N27" s="8">
        <v>1.18648E-2</v>
      </c>
      <c r="O27" s="8">
        <v>-0.39905299999999999</v>
      </c>
      <c r="P27">
        <v>125</v>
      </c>
      <c r="Q27">
        <v>115.36799999999999</v>
      </c>
      <c r="R27">
        <v>-0.394125</v>
      </c>
      <c r="S27">
        <v>4.80002E-2</v>
      </c>
      <c r="T27" s="8">
        <v>4.7881699999999999E-2</v>
      </c>
      <c r="U27" s="8" t="s">
        <v>226</v>
      </c>
      <c r="V27" t="s">
        <v>226</v>
      </c>
    </row>
    <row r="28" spans="1:22" x14ac:dyDescent="0.25">
      <c r="A28">
        <v>1971</v>
      </c>
      <c r="B28">
        <v>1</v>
      </c>
      <c r="C28">
        <v>1</v>
      </c>
      <c r="D28">
        <v>1</v>
      </c>
      <c r="E28">
        <v>3</v>
      </c>
      <c r="F28" t="s">
        <v>338</v>
      </c>
      <c r="G28">
        <v>0</v>
      </c>
      <c r="H28">
        <v>0</v>
      </c>
      <c r="I28">
        <v>1</v>
      </c>
      <c r="J28">
        <v>1</v>
      </c>
      <c r="K28">
        <v>1</v>
      </c>
      <c r="L28">
        <v>50</v>
      </c>
      <c r="M28">
        <v>1.60001E-2</v>
      </c>
      <c r="N28" s="8">
        <v>1.49733E-2</v>
      </c>
      <c r="O28" s="8">
        <v>9.4525499999999998E-2</v>
      </c>
      <c r="P28">
        <v>125</v>
      </c>
      <c r="Q28">
        <v>115.36799999999999</v>
      </c>
      <c r="R28">
        <v>0.13265099999999999</v>
      </c>
      <c r="S28">
        <v>6.4000199999999993E-2</v>
      </c>
      <c r="T28" s="8">
        <v>6.2854900000000005E-2</v>
      </c>
      <c r="U28" s="8" t="s">
        <v>226</v>
      </c>
      <c r="V28" t="s">
        <v>226</v>
      </c>
    </row>
    <row r="29" spans="1:22" x14ac:dyDescent="0.25">
      <c r="A29">
        <v>1971</v>
      </c>
      <c r="B29">
        <v>1</v>
      </c>
      <c r="C29">
        <v>1</v>
      </c>
      <c r="D29">
        <v>1</v>
      </c>
      <c r="E29">
        <v>3</v>
      </c>
      <c r="F29" t="s">
        <v>338</v>
      </c>
      <c r="G29">
        <v>0</v>
      </c>
      <c r="H29">
        <v>0</v>
      </c>
      <c r="I29">
        <v>1</v>
      </c>
      <c r="J29">
        <v>1</v>
      </c>
      <c r="K29">
        <v>1</v>
      </c>
      <c r="L29">
        <v>52</v>
      </c>
      <c r="M29">
        <v>3.2000000000000001E-2</v>
      </c>
      <c r="N29" s="8">
        <v>1.8528099999999999E-2</v>
      </c>
      <c r="O29">
        <v>1.11694</v>
      </c>
      <c r="P29">
        <v>125</v>
      </c>
      <c r="Q29">
        <v>115.36799999999999</v>
      </c>
      <c r="R29">
        <v>2.1857899999999999</v>
      </c>
      <c r="S29" s="8">
        <v>9.6000199999999994E-2</v>
      </c>
      <c r="T29" s="8">
        <v>8.1382999999999997E-2</v>
      </c>
      <c r="U29" t="s">
        <v>226</v>
      </c>
      <c r="V29" t="s">
        <v>226</v>
      </c>
    </row>
    <row r="30" spans="1:22" x14ac:dyDescent="0.25">
      <c r="A30" t="s">
        <v>353</v>
      </c>
      <c r="N30" s="8"/>
      <c r="O30" s="8"/>
      <c r="T30" s="8"/>
    </row>
  </sheetData>
  <hyperlinks>
    <hyperlink ref="F2" location="Main_List" display="Return to Main"/>
  </hyperlink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View_Comp_Data">
                <anchor moveWithCells="1" sizeWithCells="1">
                  <from>
                    <xdr:col>1</xdr:col>
                    <xdr:colOff>0</xdr:colOff>
                    <xdr:row>0</xdr:row>
                    <xdr:rowOff>38100</xdr:rowOff>
                  </from>
                  <to>
                    <xdr:col>3</xdr:col>
                    <xdr:colOff>266700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J29"/>
  <sheetViews>
    <sheetView zoomScale="80" zoomScaleNormal="80" workbookViewId="0"/>
  </sheetViews>
  <sheetFormatPr defaultRowHeight="15" x14ac:dyDescent="0.25"/>
  <cols>
    <col min="1" max="1" width="9.140625" style="20"/>
    <col min="2" max="2" width="11.28515625" style="20" customWidth="1"/>
    <col min="3" max="3" width="7" style="20" customWidth="1"/>
    <col min="4" max="16384" width="9.140625" style="20"/>
  </cols>
  <sheetData>
    <row r="1" spans="1:88" x14ac:dyDescent="0.25">
      <c r="A1" s="20" t="s">
        <v>375</v>
      </c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</row>
    <row r="2" spans="1:88" x14ac:dyDescent="0.25">
      <c r="A2" s="20" t="s">
        <v>376</v>
      </c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</row>
    <row r="3" spans="1:88" x14ac:dyDescent="0.25"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</row>
    <row r="4" spans="1:88" x14ac:dyDescent="0.25">
      <c r="A4" s="20" t="s">
        <v>212</v>
      </c>
      <c r="B4" s="20" t="s">
        <v>377</v>
      </c>
      <c r="C4" s="20" t="s">
        <v>378</v>
      </c>
      <c r="D4" s="20">
        <v>24</v>
      </c>
      <c r="E4" s="7">
        <v>0.80031249999999998</v>
      </c>
      <c r="F4" s="20">
        <v>2012</v>
      </c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</row>
    <row r="5" spans="1:88" x14ac:dyDescent="0.25">
      <c r="A5" s="20" t="s">
        <v>213</v>
      </c>
      <c r="B5" s="20" t="s">
        <v>377</v>
      </c>
      <c r="C5" s="20" t="s">
        <v>378</v>
      </c>
      <c r="D5" s="20">
        <v>24</v>
      </c>
      <c r="E5" s="7">
        <v>0.80033564814814817</v>
      </c>
      <c r="F5" s="20">
        <v>2012</v>
      </c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</row>
    <row r="6" spans="1:88" x14ac:dyDescent="0.25">
      <c r="A6" s="20" t="s">
        <v>214</v>
      </c>
      <c r="B6" s="20" t="s">
        <v>215</v>
      </c>
      <c r="C6" s="20" t="s">
        <v>216</v>
      </c>
      <c r="D6" s="20">
        <v>0</v>
      </c>
      <c r="E6" s="20" t="s">
        <v>217</v>
      </c>
      <c r="F6" s="20">
        <v>0</v>
      </c>
      <c r="G6" s="20" t="s">
        <v>218</v>
      </c>
      <c r="H6" s="20">
        <v>2</v>
      </c>
      <c r="I6" s="20" t="s">
        <v>219</v>
      </c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</row>
    <row r="7" spans="1:88" x14ac:dyDescent="0.25">
      <c r="A7" s="20" t="s">
        <v>220</v>
      </c>
      <c r="B7" s="20" t="s">
        <v>379</v>
      </c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</row>
    <row r="8" spans="1:88" x14ac:dyDescent="0.25">
      <c r="A8" s="20" t="s">
        <v>221</v>
      </c>
      <c r="B8" s="20" t="s">
        <v>359</v>
      </c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</row>
    <row r="9" spans="1:88" x14ac:dyDescent="0.25">
      <c r="A9" s="20" t="s">
        <v>374</v>
      </c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</row>
    <row r="10" spans="1:88" x14ac:dyDescent="0.25">
      <c r="B10" s="8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</row>
    <row r="11" spans="1:88" x14ac:dyDescent="0.25">
      <c r="A11" s="20" t="s">
        <v>222</v>
      </c>
      <c r="B11" s="8">
        <v>3.47478E-5</v>
      </c>
      <c r="C11" s="20" t="s">
        <v>223</v>
      </c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</row>
    <row r="12" spans="1:88" x14ac:dyDescent="0.25">
      <c r="A12" s="20" t="s">
        <v>224</v>
      </c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</row>
    <row r="13" spans="1:88" x14ac:dyDescent="0.25">
      <c r="A13" s="20" t="s">
        <v>241</v>
      </c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</row>
    <row r="14" spans="1:88" x14ac:dyDescent="0.25">
      <c r="A14" s="20" t="s">
        <v>225</v>
      </c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</row>
    <row r="15" spans="1:88" x14ac:dyDescent="0.25">
      <c r="A15" s="20" t="s">
        <v>325</v>
      </c>
      <c r="B15" s="20" t="s">
        <v>343</v>
      </c>
      <c r="C15" s="20" t="s">
        <v>344</v>
      </c>
      <c r="D15" s="20" t="s">
        <v>345</v>
      </c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</row>
    <row r="16" spans="1:88" x14ac:dyDescent="0.25">
      <c r="A16" s="20" t="s">
        <v>241</v>
      </c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</row>
    <row r="17" spans="1:88" x14ac:dyDescent="0.25">
      <c r="A17" s="20" t="s">
        <v>364</v>
      </c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</row>
    <row r="18" spans="1:88" x14ac:dyDescent="0.25">
      <c r="A18" s="20" t="s">
        <v>325</v>
      </c>
      <c r="B18" s="20" t="s">
        <v>365</v>
      </c>
      <c r="C18" s="20" t="s">
        <v>366</v>
      </c>
      <c r="D18" s="20" t="s">
        <v>373</v>
      </c>
      <c r="E18" s="20" t="s">
        <v>380</v>
      </c>
      <c r="F18" s="20" t="s">
        <v>381</v>
      </c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</row>
    <row r="19" spans="1:88" x14ac:dyDescent="0.25">
      <c r="A19" s="20" t="s">
        <v>241</v>
      </c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</row>
    <row r="20" spans="1:88" x14ac:dyDescent="0.25">
      <c r="A20" s="20" t="s">
        <v>352</v>
      </c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</row>
    <row r="21" spans="1:88" x14ac:dyDescent="0.25">
      <c r="A21" s="20" t="s">
        <v>325</v>
      </c>
      <c r="B21" s="20" t="s">
        <v>360</v>
      </c>
      <c r="C21" s="20" t="s">
        <v>361</v>
      </c>
      <c r="D21" s="20" t="s">
        <v>362</v>
      </c>
      <c r="E21" s="20" t="s">
        <v>363</v>
      </c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</row>
    <row r="22" spans="1:88" x14ac:dyDescent="0.25">
      <c r="A22" s="20" t="s">
        <v>325</v>
      </c>
      <c r="B22" s="20" t="s">
        <v>382</v>
      </c>
      <c r="C22" s="20" t="s">
        <v>383</v>
      </c>
      <c r="D22" s="20" t="s">
        <v>384</v>
      </c>
      <c r="E22" s="20" t="s">
        <v>385</v>
      </c>
      <c r="F22" s="20" t="s">
        <v>386</v>
      </c>
      <c r="G22" s="20" t="s">
        <v>387</v>
      </c>
      <c r="H22" s="20" t="s">
        <v>388</v>
      </c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</row>
    <row r="23" spans="1:88" x14ac:dyDescent="0.25">
      <c r="A23" s="20" t="s">
        <v>241</v>
      </c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</row>
    <row r="24" spans="1:88" x14ac:dyDescent="0.25">
      <c r="A24" s="20" t="s">
        <v>354</v>
      </c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</row>
    <row r="25" spans="1:88" x14ac:dyDescent="0.25">
      <c r="A25" s="20" t="s">
        <v>325</v>
      </c>
      <c r="B25" s="20" t="s">
        <v>355</v>
      </c>
      <c r="C25" s="20" t="s">
        <v>356</v>
      </c>
      <c r="D25" s="20" t="s">
        <v>366</v>
      </c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</row>
    <row r="26" spans="1:88" x14ac:dyDescent="0.25"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</row>
    <row r="27" spans="1:88" x14ac:dyDescent="0.25">
      <c r="A27" s="20" t="s">
        <v>326</v>
      </c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</row>
    <row r="28" spans="1:88" x14ac:dyDescent="0.25">
      <c r="A28" s="20" t="s">
        <v>327</v>
      </c>
      <c r="B28" s="20" t="s">
        <v>328</v>
      </c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</row>
    <row r="29" spans="1:88" x14ac:dyDescent="0.25">
      <c r="A29" s="20" t="s">
        <v>327</v>
      </c>
      <c r="B29" s="20" t="s">
        <v>329</v>
      </c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25"/>
  <sheetViews>
    <sheetView tabSelected="1" workbookViewId="0"/>
  </sheetViews>
  <sheetFormatPr defaultRowHeight="15" x14ac:dyDescent="0.25"/>
  <sheetData>
    <row r="1" spans="1:16" ht="18.75" x14ac:dyDescent="0.3">
      <c r="H1" s="22" t="s">
        <v>389</v>
      </c>
    </row>
    <row r="3" spans="1:16" ht="23.25" x14ac:dyDescent="0.35">
      <c r="A3" t="s">
        <v>274</v>
      </c>
      <c r="N3" s="17" t="s">
        <v>311</v>
      </c>
      <c r="P3" s="21" t="s">
        <v>340</v>
      </c>
    </row>
    <row r="4" spans="1:16" x14ac:dyDescent="0.25">
      <c r="E4" t="s">
        <v>341</v>
      </c>
    </row>
    <row r="5" spans="1:16" x14ac:dyDescent="0.25">
      <c r="N5" s="16" t="s">
        <v>313</v>
      </c>
    </row>
    <row r="6" spans="1:16" x14ac:dyDescent="0.25">
      <c r="N6" s="16" t="s">
        <v>320</v>
      </c>
    </row>
    <row r="7" spans="1:16" x14ac:dyDescent="0.25">
      <c r="I7" s="19" t="s">
        <v>290</v>
      </c>
      <c r="N7" s="16" t="s">
        <v>321</v>
      </c>
    </row>
    <row r="8" spans="1:16" x14ac:dyDescent="0.25">
      <c r="A8" t="s">
        <v>22</v>
      </c>
    </row>
    <row r="9" spans="1:16" x14ac:dyDescent="0.25">
      <c r="A9" t="s">
        <v>206</v>
      </c>
      <c r="N9" s="16" t="s">
        <v>310</v>
      </c>
    </row>
    <row r="10" spans="1:16" x14ac:dyDescent="0.25">
      <c r="A10" t="s">
        <v>207</v>
      </c>
      <c r="N10" s="16" t="s">
        <v>309</v>
      </c>
    </row>
    <row r="11" spans="1:16" x14ac:dyDescent="0.25">
      <c r="N11" s="16" t="s">
        <v>314</v>
      </c>
    </row>
    <row r="12" spans="1:16" x14ac:dyDescent="0.25">
      <c r="N12" s="16" t="s">
        <v>315</v>
      </c>
    </row>
    <row r="14" spans="1:16" x14ac:dyDescent="0.25">
      <c r="N14" s="16" t="s">
        <v>316</v>
      </c>
    </row>
    <row r="15" spans="1:16" x14ac:dyDescent="0.25">
      <c r="N15" s="16" t="s">
        <v>317</v>
      </c>
    </row>
    <row r="16" spans="1:16" x14ac:dyDescent="0.25">
      <c r="A16" t="s">
        <v>273</v>
      </c>
      <c r="N16" s="16" t="s">
        <v>318</v>
      </c>
    </row>
    <row r="18" spans="1:14" x14ac:dyDescent="0.25">
      <c r="N18" s="16" t="s">
        <v>319</v>
      </c>
    </row>
    <row r="19" spans="1:14" x14ac:dyDescent="0.25">
      <c r="N19" s="16" t="s">
        <v>285</v>
      </c>
    </row>
    <row r="20" spans="1:14" x14ac:dyDescent="0.25">
      <c r="A20" t="s">
        <v>208</v>
      </c>
      <c r="N20" s="16" t="s">
        <v>306</v>
      </c>
    </row>
    <row r="21" spans="1:14" x14ac:dyDescent="0.25">
      <c r="A21" t="s">
        <v>205</v>
      </c>
      <c r="N21" s="16" t="s">
        <v>322</v>
      </c>
    </row>
    <row r="22" spans="1:14" x14ac:dyDescent="0.25">
      <c r="N22" s="16" t="s">
        <v>323</v>
      </c>
    </row>
    <row r="24" spans="1:14" x14ac:dyDescent="0.25">
      <c r="A24" t="s">
        <v>276</v>
      </c>
    </row>
    <row r="25" spans="1:14" x14ac:dyDescent="0.25">
      <c r="E25" t="s">
        <v>339</v>
      </c>
    </row>
  </sheetData>
  <hyperlinks>
    <hyperlink ref="N10" location="put_ageselex" display="AgeSelex_Display"/>
    <hyperlink ref="N9" location="AgeSelex_Raw" display="AgeSelex_Raw"/>
    <hyperlink ref="N5" location="REPORT_SSO!A1" display="Report_SSO"/>
    <hyperlink ref="N6" location="CompReport_SSO!A20" display="Composition_Raw"/>
    <hyperlink ref="N11" location="Len_Sel_A!A1" display="LenSelex_Raw"/>
    <hyperlink ref="N12" location="Len_Sel_D!A1" display="LenSelex_Display"/>
    <hyperlink ref="N14" location="Time_Series!A1" display="Time_Series_Detail"/>
    <hyperlink ref="N15" location="Annual!A1" display="TimeSeries_Annual"/>
    <hyperlink ref="N16" location="SRR!A1" display="Spawn_Recruit"/>
    <hyperlink ref="N18" location="SURVEY!A2" display="SURVEY_CPUE"/>
    <hyperlink ref="N19" location="BIO!A34" display="BIOLOGY"/>
    <hyperlink ref="N7" location="Comp_Disp!A4" display="Composition_Display"/>
    <hyperlink ref="N20" location="Discard!A1" display="Discard"/>
    <hyperlink ref="N21" location="BODYWT!A1" display="BODYWT"/>
    <hyperlink ref="N22" location="Annual_F!A1" display="Annual_F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fresh_Report">
                <anchor moveWithCells="1" sizeWithCells="1">
                  <from>
                    <xdr:col>0</xdr:col>
                    <xdr:colOff>38100</xdr:colOff>
                    <xdr:row>3</xdr:row>
                    <xdr:rowOff>9525</xdr:rowOff>
                  </from>
                  <to>
                    <xdr:col>3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Parse_REPORT_SSO">
                <anchor moveWithCells="1" sizeWithCells="1">
                  <from>
                    <xdr:col>0</xdr:col>
                    <xdr:colOff>19050</xdr:colOff>
                    <xdr:row>10</xdr:row>
                    <xdr:rowOff>114300</xdr:rowOff>
                  </from>
                  <to>
                    <xdr:col>3</xdr:col>
                    <xdr:colOff>28575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fresh_CompReport">
                <anchor moveWithCells="1" sizeWithCells="1">
                  <from>
                    <xdr:col>0</xdr:col>
                    <xdr:colOff>38100</xdr:colOff>
                    <xdr:row>16</xdr:row>
                    <xdr:rowOff>114300</xdr:rowOff>
                  </from>
                  <to>
                    <xdr:col>3</xdr:col>
                    <xdr:colOff>9525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CleanUp">
                <anchor moveWithCells="1" sizeWithCells="1">
                  <from>
                    <xdr:col>0</xdr:col>
                    <xdr:colOff>19050</xdr:colOff>
                    <xdr:row>24</xdr:row>
                    <xdr:rowOff>9525</xdr:rowOff>
                  </from>
                  <to>
                    <xdr:col>3</xdr:col>
                    <xdr:colOff>9525</xdr:colOff>
                    <xdr:row>26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Q5"/>
  <sheetViews>
    <sheetView workbookViewId="0"/>
  </sheetViews>
  <sheetFormatPr defaultRowHeight="15" x14ac:dyDescent="0.25"/>
  <sheetData>
    <row r="1" spans="1:17" ht="210" customHeight="1" x14ac:dyDescent="0.25">
      <c r="Q1" s="18"/>
    </row>
    <row r="2" spans="1:17" x14ac:dyDescent="0.25">
      <c r="A2" s="20" t="s">
        <v>227</v>
      </c>
      <c r="B2" t="s">
        <v>3</v>
      </c>
      <c r="C2" t="s">
        <v>228</v>
      </c>
      <c r="D2" s="20" t="s">
        <v>2</v>
      </c>
      <c r="E2" s="20" t="s">
        <v>229</v>
      </c>
      <c r="F2" s="20" t="s">
        <v>230</v>
      </c>
      <c r="G2" s="20" t="s">
        <v>231</v>
      </c>
      <c r="H2" t="s">
        <v>232</v>
      </c>
    </row>
    <row r="3" spans="1:17" x14ac:dyDescent="0.25">
      <c r="A3" s="20">
        <v>1</v>
      </c>
      <c r="B3">
        <v>1969</v>
      </c>
      <c r="C3" t="s">
        <v>233</v>
      </c>
      <c r="D3" s="20">
        <v>1</v>
      </c>
      <c r="E3" s="20">
        <v>124693</v>
      </c>
      <c r="F3" s="20">
        <v>124187</v>
      </c>
      <c r="G3" s="20">
        <v>49926.1</v>
      </c>
      <c r="H3">
        <v>6737.44</v>
      </c>
    </row>
    <row r="4" spans="1:17" x14ac:dyDescent="0.25">
      <c r="A4" s="20">
        <v>1</v>
      </c>
      <c r="B4">
        <v>1970</v>
      </c>
      <c r="C4" t="s">
        <v>393</v>
      </c>
      <c r="D4" s="20">
        <v>1</v>
      </c>
      <c r="E4" s="20">
        <v>124693</v>
      </c>
      <c r="F4" s="20">
        <v>124187</v>
      </c>
      <c r="G4" s="20">
        <v>49926.1</v>
      </c>
      <c r="H4">
        <v>6737.44</v>
      </c>
    </row>
    <row r="5" spans="1:17" x14ac:dyDescent="0.25">
      <c r="A5" s="20">
        <v>1</v>
      </c>
      <c r="B5">
        <v>1971</v>
      </c>
      <c r="C5" t="s">
        <v>394</v>
      </c>
      <c r="D5" s="20">
        <v>1</v>
      </c>
      <c r="E5" s="20">
        <v>124667</v>
      </c>
      <c r="F5" s="20">
        <v>124187</v>
      </c>
      <c r="G5" s="20">
        <v>49926.1</v>
      </c>
      <c r="H5">
        <v>6394.85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Z10"/>
  <sheetViews>
    <sheetView workbookViewId="0"/>
  </sheetViews>
  <sheetFormatPr defaultRowHeight="15" x14ac:dyDescent="0.25"/>
  <sheetData>
    <row r="1" spans="1:26" ht="119.25" customHeight="1" x14ac:dyDescent="0.25"/>
    <row r="2" spans="1:26" ht="120" customHeight="1" x14ac:dyDescent="0.25">
      <c r="L2" s="18"/>
    </row>
    <row r="3" spans="1:26" x14ac:dyDescent="0.25">
      <c r="A3" s="20" t="s">
        <v>238</v>
      </c>
      <c r="B3">
        <v>6737.44</v>
      </c>
      <c r="D3" s="20"/>
      <c r="E3" s="20"/>
      <c r="F3" s="20"/>
      <c r="G3" s="20"/>
      <c r="I3" s="20"/>
      <c r="J3" s="20"/>
      <c r="K3" s="20"/>
      <c r="L3" s="20"/>
      <c r="M3" s="20"/>
      <c r="O3" s="20"/>
      <c r="P3" s="20"/>
      <c r="Q3" s="20"/>
      <c r="R3" s="20"/>
      <c r="S3" s="20"/>
      <c r="U3" s="20"/>
    </row>
    <row r="4" spans="1:26" x14ac:dyDescent="0.25">
      <c r="A4" s="20" t="s">
        <v>239</v>
      </c>
      <c r="D4" s="20"/>
      <c r="E4" s="20"/>
      <c r="F4" s="20"/>
      <c r="G4" s="20"/>
      <c r="I4" s="20"/>
      <c r="J4" s="20"/>
      <c r="K4" s="20"/>
      <c r="L4" s="20"/>
      <c r="M4" s="20"/>
      <c r="O4" s="20"/>
      <c r="P4" s="20"/>
      <c r="Q4" s="20"/>
      <c r="R4" s="20"/>
      <c r="S4" s="20"/>
      <c r="U4" s="20"/>
    </row>
    <row r="5" spans="1:26" x14ac:dyDescent="0.25">
      <c r="A5" s="20" t="s">
        <v>240</v>
      </c>
      <c r="B5">
        <v>1</v>
      </c>
      <c r="C5" t="s">
        <v>241</v>
      </c>
      <c r="D5" s="20" t="s">
        <v>392</v>
      </c>
      <c r="E5" s="20"/>
      <c r="F5" s="20"/>
      <c r="G5" s="20"/>
      <c r="I5" s="20"/>
      <c r="J5" s="20"/>
      <c r="K5" s="20"/>
      <c r="L5" s="20"/>
      <c r="M5" s="20"/>
      <c r="O5" s="20"/>
      <c r="P5" s="20"/>
      <c r="Q5" s="20"/>
      <c r="R5" s="20"/>
      <c r="S5" s="20"/>
      <c r="U5" s="20"/>
    </row>
    <row r="6" spans="1:26" x14ac:dyDescent="0.25">
      <c r="A6" s="20" t="s">
        <v>242</v>
      </c>
      <c r="B6">
        <v>4</v>
      </c>
      <c r="C6" t="s">
        <v>241</v>
      </c>
      <c r="D6" s="20" t="s">
        <v>391</v>
      </c>
      <c r="E6" s="20"/>
      <c r="F6" s="20"/>
      <c r="G6" s="20"/>
      <c r="I6" s="20"/>
      <c r="J6" s="20"/>
      <c r="K6" s="20"/>
      <c r="L6" s="20"/>
      <c r="M6" s="20"/>
      <c r="O6" s="20"/>
      <c r="P6" s="20"/>
      <c r="Q6" s="20"/>
      <c r="R6" s="20"/>
      <c r="S6" s="20"/>
      <c r="U6" s="20"/>
    </row>
    <row r="7" spans="1:26" x14ac:dyDescent="0.25">
      <c r="A7" s="20" t="s">
        <v>243</v>
      </c>
      <c r="B7">
        <v>1</v>
      </c>
      <c r="C7" t="s">
        <v>241</v>
      </c>
      <c r="D7" s="20" t="s">
        <v>390</v>
      </c>
      <c r="E7" s="20"/>
      <c r="F7" s="20"/>
      <c r="G7" s="20"/>
      <c r="I7" s="20"/>
      <c r="J7" s="20"/>
      <c r="K7" s="20"/>
      <c r="L7" s="20"/>
      <c r="M7" s="20"/>
      <c r="O7" s="20"/>
      <c r="P7" s="20"/>
      <c r="Q7" s="20"/>
      <c r="R7" s="20"/>
      <c r="S7" s="20"/>
      <c r="U7" s="20"/>
    </row>
    <row r="8" spans="1:26" x14ac:dyDescent="0.25">
      <c r="A8" s="20" t="s">
        <v>236</v>
      </c>
      <c r="B8" t="s">
        <v>229</v>
      </c>
      <c r="C8" t="s">
        <v>244</v>
      </c>
      <c r="D8" s="20" t="s">
        <v>245</v>
      </c>
      <c r="E8" s="20" t="s">
        <v>246</v>
      </c>
      <c r="F8" s="20" t="s">
        <v>247</v>
      </c>
      <c r="G8" s="20" t="s">
        <v>248</v>
      </c>
      <c r="H8" t="s">
        <v>249</v>
      </c>
      <c r="I8" s="20" t="s">
        <v>250</v>
      </c>
      <c r="J8" s="20" t="s">
        <v>251</v>
      </c>
      <c r="K8" s="20" t="s">
        <v>252</v>
      </c>
      <c r="L8" s="20" t="s">
        <v>237</v>
      </c>
      <c r="M8" s="20" t="s">
        <v>253</v>
      </c>
      <c r="N8" t="s">
        <v>229</v>
      </c>
      <c r="O8" s="20" t="s">
        <v>244</v>
      </c>
      <c r="P8" s="20" t="s">
        <v>301</v>
      </c>
      <c r="Q8" s="20" t="s">
        <v>347</v>
      </c>
      <c r="R8" s="20" t="s">
        <v>254</v>
      </c>
      <c r="S8" s="20" t="s">
        <v>255</v>
      </c>
      <c r="T8" t="s">
        <v>256</v>
      </c>
      <c r="U8" s="20" t="s">
        <v>348</v>
      </c>
    </row>
    <row r="9" spans="1:26" x14ac:dyDescent="0.25">
      <c r="A9" s="20">
        <v>1971</v>
      </c>
      <c r="B9">
        <v>124693</v>
      </c>
      <c r="C9">
        <v>124187</v>
      </c>
      <c r="D9" s="20">
        <v>49926.1</v>
      </c>
      <c r="E9" s="20">
        <v>49926.1</v>
      </c>
      <c r="F9" s="20">
        <v>7.4102499999999996</v>
      </c>
      <c r="G9" s="20">
        <v>1</v>
      </c>
      <c r="I9" s="20">
        <v>0</v>
      </c>
      <c r="J9" s="20">
        <v>18.633299999999998</v>
      </c>
      <c r="K9" s="20" t="s">
        <v>226</v>
      </c>
      <c r="L9" s="20"/>
      <c r="M9" s="20" t="s">
        <v>257</v>
      </c>
      <c r="N9">
        <v>124667</v>
      </c>
      <c r="O9" s="20">
        <v>124187</v>
      </c>
      <c r="P9" s="20">
        <v>64061.8</v>
      </c>
      <c r="Q9" s="20">
        <v>10.315899999999999</v>
      </c>
      <c r="R9" s="20">
        <v>0</v>
      </c>
      <c r="S9" s="20">
        <v>0</v>
      </c>
      <c r="T9">
        <v>0</v>
      </c>
      <c r="U9" s="20">
        <v>0</v>
      </c>
      <c r="W9" s="8"/>
      <c r="X9" s="8"/>
      <c r="Y9" s="8"/>
      <c r="Z9" s="8"/>
    </row>
    <row r="10" spans="1:26" x14ac:dyDescent="0.25">
      <c r="A10" s="20">
        <v>1972</v>
      </c>
      <c r="B10">
        <v>122319</v>
      </c>
      <c r="C10">
        <v>121814</v>
      </c>
      <c r="D10" s="20">
        <v>49926.1</v>
      </c>
      <c r="E10" s="20">
        <v>48751.6</v>
      </c>
      <c r="F10" s="20">
        <v>7.2359299999999998</v>
      </c>
      <c r="G10" s="20">
        <v>0.97647499999999998</v>
      </c>
      <c r="H10">
        <v>3.9207899999999997E-2</v>
      </c>
      <c r="I10" s="20">
        <v>2.9041600000000001E-2</v>
      </c>
      <c r="J10" s="20">
        <v>18.633299999999998</v>
      </c>
      <c r="K10" s="20" t="s">
        <v>226</v>
      </c>
      <c r="L10" s="20">
        <v>1.8605500000000001E-2</v>
      </c>
      <c r="M10" s="20" t="s">
        <v>257</v>
      </c>
      <c r="N10">
        <v>124523</v>
      </c>
      <c r="O10" s="20">
        <v>124127</v>
      </c>
      <c r="P10" s="20">
        <v>63751.8</v>
      </c>
      <c r="Q10" s="20">
        <v>10.3612</v>
      </c>
      <c r="R10" s="20">
        <v>200</v>
      </c>
      <c r="S10" s="20">
        <v>200</v>
      </c>
      <c r="T10">
        <v>200</v>
      </c>
      <c r="U10" s="20">
        <v>14.7521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I17"/>
  <sheetViews>
    <sheetView zoomScale="90" zoomScaleNormal="90" workbookViewId="0"/>
  </sheetViews>
  <sheetFormatPr defaultRowHeight="15" x14ac:dyDescent="0.25"/>
  <sheetData>
    <row r="1" spans="1:9" ht="234" customHeight="1" x14ac:dyDescent="0.25"/>
    <row r="2" spans="1:9" ht="57.75" customHeight="1" x14ac:dyDescent="0.25">
      <c r="H2" s="18"/>
    </row>
    <row r="3" spans="1:9" x14ac:dyDescent="0.25">
      <c r="A3" s="20" t="s">
        <v>234</v>
      </c>
      <c r="B3" t="s">
        <v>258</v>
      </c>
      <c r="C3">
        <v>3</v>
      </c>
      <c r="D3" s="20" t="s">
        <v>226</v>
      </c>
      <c r="E3" s="20" t="s">
        <v>226</v>
      </c>
      <c r="F3" s="20" t="s">
        <v>226</v>
      </c>
      <c r="G3" s="20" t="s">
        <v>226</v>
      </c>
      <c r="H3" t="s">
        <v>226</v>
      </c>
      <c r="I3" s="20" t="s">
        <v>226</v>
      </c>
    </row>
    <row r="4" spans="1:9" x14ac:dyDescent="0.25">
      <c r="A4" s="20">
        <v>8.8154400000000006</v>
      </c>
      <c r="B4" t="s">
        <v>259</v>
      </c>
      <c r="C4">
        <v>6737.44</v>
      </c>
      <c r="D4" s="20"/>
      <c r="E4" s="20"/>
      <c r="F4" s="20"/>
      <c r="G4" s="20"/>
      <c r="I4" s="20"/>
    </row>
    <row r="5" spans="1:9" x14ac:dyDescent="0.25">
      <c r="A5" s="20">
        <v>0.61371699999999996</v>
      </c>
      <c r="B5" t="s">
        <v>260</v>
      </c>
      <c r="D5" s="20"/>
      <c r="E5" s="20"/>
      <c r="F5" s="20"/>
      <c r="G5" s="20"/>
      <c r="I5" s="20"/>
    </row>
    <row r="6" spans="1:9" x14ac:dyDescent="0.25">
      <c r="A6" s="20">
        <v>0.6</v>
      </c>
      <c r="B6" t="s">
        <v>291</v>
      </c>
      <c r="D6" s="20"/>
      <c r="E6" s="20"/>
      <c r="F6" s="20"/>
      <c r="G6" s="20"/>
      <c r="I6" s="20"/>
    </row>
    <row r="7" spans="1:9" x14ac:dyDescent="0.25">
      <c r="A7" s="20">
        <v>0.1</v>
      </c>
      <c r="B7" t="s">
        <v>367</v>
      </c>
      <c r="D7" s="20"/>
      <c r="E7" s="20"/>
      <c r="F7" s="20"/>
      <c r="G7" s="20"/>
      <c r="I7" s="20"/>
    </row>
    <row r="8" spans="1:9" x14ac:dyDescent="0.25">
      <c r="A8" s="20">
        <v>0</v>
      </c>
      <c r="B8" t="s">
        <v>261</v>
      </c>
      <c r="C8">
        <v>6737.44</v>
      </c>
      <c r="D8" s="20"/>
      <c r="E8" s="20"/>
      <c r="F8" s="20"/>
      <c r="G8" s="20"/>
      <c r="I8" s="20"/>
    </row>
    <row r="9" spans="1:9" x14ac:dyDescent="0.25">
      <c r="A9" s="20">
        <v>1971</v>
      </c>
      <c r="B9">
        <v>2001</v>
      </c>
      <c r="C9" t="s">
        <v>292</v>
      </c>
      <c r="D9" s="20"/>
      <c r="E9" s="20"/>
      <c r="F9" s="20"/>
      <c r="G9" s="20"/>
      <c r="I9" s="20"/>
    </row>
    <row r="10" spans="1:9" x14ac:dyDescent="0.25">
      <c r="A10" s="20">
        <v>1900</v>
      </c>
      <c r="B10">
        <v>1900</v>
      </c>
      <c r="C10">
        <v>2001</v>
      </c>
      <c r="D10" s="20">
        <v>2002</v>
      </c>
      <c r="E10" s="20">
        <v>1</v>
      </c>
      <c r="F10" s="20" t="s">
        <v>293</v>
      </c>
      <c r="G10" s="20"/>
      <c r="I10" s="20"/>
    </row>
    <row r="11" spans="1:9" x14ac:dyDescent="0.25">
      <c r="A11" s="20" t="s">
        <v>294</v>
      </c>
      <c r="B11" t="s">
        <v>7</v>
      </c>
      <c r="C11" t="s">
        <v>295</v>
      </c>
      <c r="D11" s="20" t="s">
        <v>324</v>
      </c>
      <c r="E11" s="20" t="s">
        <v>296</v>
      </c>
      <c r="F11" s="20"/>
      <c r="G11" s="20"/>
      <c r="I11" s="20"/>
    </row>
    <row r="12" spans="1:9" x14ac:dyDescent="0.25">
      <c r="A12" s="20" t="s">
        <v>297</v>
      </c>
      <c r="B12">
        <v>31</v>
      </c>
      <c r="C12">
        <v>0.442639</v>
      </c>
      <c r="D12" s="20">
        <v>0.54424799999999995</v>
      </c>
      <c r="E12" s="20">
        <v>1</v>
      </c>
      <c r="F12" s="20"/>
      <c r="G12" s="20"/>
      <c r="I12" s="20"/>
    </row>
    <row r="13" spans="1:9" x14ac:dyDescent="0.25">
      <c r="A13" s="20" t="s">
        <v>299</v>
      </c>
      <c r="B13">
        <v>0</v>
      </c>
      <c r="C13">
        <v>0</v>
      </c>
      <c r="D13" s="20">
        <v>0</v>
      </c>
      <c r="E13" s="20">
        <v>0</v>
      </c>
      <c r="F13" s="20"/>
      <c r="G13" s="20"/>
      <c r="I13" s="20"/>
    </row>
    <row r="14" spans="1:9" x14ac:dyDescent="0.25">
      <c r="A14" s="20" t="s">
        <v>191</v>
      </c>
      <c r="B14" t="s">
        <v>262</v>
      </c>
      <c r="C14" t="s">
        <v>263</v>
      </c>
      <c r="D14" s="20" t="s">
        <v>264</v>
      </c>
      <c r="E14" s="20" t="s">
        <v>300</v>
      </c>
      <c r="F14" s="20" t="s">
        <v>265</v>
      </c>
      <c r="G14" s="20" t="s">
        <v>266</v>
      </c>
      <c r="H14" t="s">
        <v>298</v>
      </c>
      <c r="I14" s="20" t="s">
        <v>267</v>
      </c>
    </row>
    <row r="15" spans="1:9" x14ac:dyDescent="0.25">
      <c r="A15" s="20" t="s">
        <v>268</v>
      </c>
      <c r="B15">
        <v>49926.1</v>
      </c>
      <c r="C15">
        <v>6737.44</v>
      </c>
      <c r="D15" s="20"/>
      <c r="E15" s="20"/>
      <c r="F15" s="20"/>
      <c r="G15" s="20"/>
      <c r="I15" s="20"/>
    </row>
    <row r="16" spans="1:9" x14ac:dyDescent="0.25">
      <c r="A16" s="20" t="s">
        <v>269</v>
      </c>
      <c r="B16">
        <v>49926.1</v>
      </c>
      <c r="C16">
        <v>6737.44</v>
      </c>
      <c r="D16" s="20">
        <v>6737.44</v>
      </c>
      <c r="E16" s="20">
        <v>6737.44</v>
      </c>
      <c r="F16" s="20">
        <v>6737.44</v>
      </c>
      <c r="G16" s="20" t="s">
        <v>270</v>
      </c>
      <c r="H16">
        <v>0</v>
      </c>
      <c r="I16" s="20" t="s">
        <v>269</v>
      </c>
    </row>
    <row r="17" spans="1:9" x14ac:dyDescent="0.25">
      <c r="A17" s="20" t="s">
        <v>235</v>
      </c>
      <c r="B17">
        <v>49926.1</v>
      </c>
      <c r="C17">
        <v>6737.44</v>
      </c>
      <c r="D17" s="20">
        <v>6737.44</v>
      </c>
      <c r="E17" s="20">
        <v>6737.44</v>
      </c>
      <c r="F17" s="20">
        <v>6737.44</v>
      </c>
      <c r="G17" s="20" t="s">
        <v>270</v>
      </c>
      <c r="H17">
        <v>0</v>
      </c>
      <c r="I17" s="20" t="s">
        <v>235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T115"/>
  <sheetViews>
    <sheetView zoomScale="80" zoomScaleNormal="80" workbookViewId="0"/>
  </sheetViews>
  <sheetFormatPr defaultRowHeight="12.75" x14ac:dyDescent="0.2"/>
  <cols>
    <col min="1" max="1" width="9.140625" style="1"/>
    <col min="2" max="2" width="9.28515625" style="1" bestFit="1" customWidth="1"/>
    <col min="3" max="3" width="9.5703125" style="1" bestFit="1" customWidth="1"/>
    <col min="4" max="6" width="9.28515625" style="1" bestFit="1" customWidth="1"/>
    <col min="7" max="20" width="9.140625" style="1"/>
    <col min="21" max="21" width="20" style="1" customWidth="1"/>
    <col min="22" max="260" width="9.140625" style="1"/>
    <col min="261" max="261" width="9.28515625" style="1" bestFit="1" customWidth="1"/>
    <col min="262" max="262" width="9.5703125" style="1" bestFit="1" customWidth="1"/>
    <col min="263" max="265" width="9.28515625" style="1" bestFit="1" customWidth="1"/>
    <col min="266" max="276" width="9.140625" style="1"/>
    <col min="277" max="277" width="20" style="1" customWidth="1"/>
    <col min="278" max="516" width="9.140625" style="1"/>
    <col min="517" max="517" width="9.28515625" style="1" bestFit="1" customWidth="1"/>
    <col min="518" max="518" width="9.5703125" style="1" bestFit="1" customWidth="1"/>
    <col min="519" max="521" width="9.28515625" style="1" bestFit="1" customWidth="1"/>
    <col min="522" max="532" width="9.140625" style="1"/>
    <col min="533" max="533" width="20" style="1" customWidth="1"/>
    <col min="534" max="772" width="9.140625" style="1"/>
    <col min="773" max="773" width="9.28515625" style="1" bestFit="1" customWidth="1"/>
    <col min="774" max="774" width="9.5703125" style="1" bestFit="1" customWidth="1"/>
    <col min="775" max="777" width="9.28515625" style="1" bestFit="1" customWidth="1"/>
    <col min="778" max="788" width="9.140625" style="1"/>
    <col min="789" max="789" width="20" style="1" customWidth="1"/>
    <col min="790" max="1028" width="9.140625" style="1"/>
    <col min="1029" max="1029" width="9.28515625" style="1" bestFit="1" customWidth="1"/>
    <col min="1030" max="1030" width="9.5703125" style="1" bestFit="1" customWidth="1"/>
    <col min="1031" max="1033" width="9.28515625" style="1" bestFit="1" customWidth="1"/>
    <col min="1034" max="1044" width="9.140625" style="1"/>
    <col min="1045" max="1045" width="20" style="1" customWidth="1"/>
    <col min="1046" max="1284" width="9.140625" style="1"/>
    <col min="1285" max="1285" width="9.28515625" style="1" bestFit="1" customWidth="1"/>
    <col min="1286" max="1286" width="9.5703125" style="1" bestFit="1" customWidth="1"/>
    <col min="1287" max="1289" width="9.28515625" style="1" bestFit="1" customWidth="1"/>
    <col min="1290" max="1300" width="9.140625" style="1"/>
    <col min="1301" max="1301" width="20" style="1" customWidth="1"/>
    <col min="1302" max="1540" width="9.140625" style="1"/>
    <col min="1541" max="1541" width="9.28515625" style="1" bestFit="1" customWidth="1"/>
    <col min="1542" max="1542" width="9.5703125" style="1" bestFit="1" customWidth="1"/>
    <col min="1543" max="1545" width="9.28515625" style="1" bestFit="1" customWidth="1"/>
    <col min="1546" max="1556" width="9.140625" style="1"/>
    <col min="1557" max="1557" width="20" style="1" customWidth="1"/>
    <col min="1558" max="1796" width="9.140625" style="1"/>
    <col min="1797" max="1797" width="9.28515625" style="1" bestFit="1" customWidth="1"/>
    <col min="1798" max="1798" width="9.5703125" style="1" bestFit="1" customWidth="1"/>
    <col min="1799" max="1801" width="9.28515625" style="1" bestFit="1" customWidth="1"/>
    <col min="1802" max="1812" width="9.140625" style="1"/>
    <col min="1813" max="1813" width="20" style="1" customWidth="1"/>
    <col min="1814" max="2052" width="9.140625" style="1"/>
    <col min="2053" max="2053" width="9.28515625" style="1" bestFit="1" customWidth="1"/>
    <col min="2054" max="2054" width="9.5703125" style="1" bestFit="1" customWidth="1"/>
    <col min="2055" max="2057" width="9.28515625" style="1" bestFit="1" customWidth="1"/>
    <col min="2058" max="2068" width="9.140625" style="1"/>
    <col min="2069" max="2069" width="20" style="1" customWidth="1"/>
    <col min="2070" max="2308" width="9.140625" style="1"/>
    <col min="2309" max="2309" width="9.28515625" style="1" bestFit="1" customWidth="1"/>
    <col min="2310" max="2310" width="9.5703125" style="1" bestFit="1" customWidth="1"/>
    <col min="2311" max="2313" width="9.28515625" style="1" bestFit="1" customWidth="1"/>
    <col min="2314" max="2324" width="9.140625" style="1"/>
    <col min="2325" max="2325" width="20" style="1" customWidth="1"/>
    <col min="2326" max="2564" width="9.140625" style="1"/>
    <col min="2565" max="2565" width="9.28515625" style="1" bestFit="1" customWidth="1"/>
    <col min="2566" max="2566" width="9.5703125" style="1" bestFit="1" customWidth="1"/>
    <col min="2567" max="2569" width="9.28515625" style="1" bestFit="1" customWidth="1"/>
    <col min="2570" max="2580" width="9.140625" style="1"/>
    <col min="2581" max="2581" width="20" style="1" customWidth="1"/>
    <col min="2582" max="2820" width="9.140625" style="1"/>
    <col min="2821" max="2821" width="9.28515625" style="1" bestFit="1" customWidth="1"/>
    <col min="2822" max="2822" width="9.5703125" style="1" bestFit="1" customWidth="1"/>
    <col min="2823" max="2825" width="9.28515625" style="1" bestFit="1" customWidth="1"/>
    <col min="2826" max="2836" width="9.140625" style="1"/>
    <col min="2837" max="2837" width="20" style="1" customWidth="1"/>
    <col min="2838" max="3076" width="9.140625" style="1"/>
    <col min="3077" max="3077" width="9.28515625" style="1" bestFit="1" customWidth="1"/>
    <col min="3078" max="3078" width="9.5703125" style="1" bestFit="1" customWidth="1"/>
    <col min="3079" max="3081" width="9.28515625" style="1" bestFit="1" customWidth="1"/>
    <col min="3082" max="3092" width="9.140625" style="1"/>
    <col min="3093" max="3093" width="20" style="1" customWidth="1"/>
    <col min="3094" max="3332" width="9.140625" style="1"/>
    <col min="3333" max="3333" width="9.28515625" style="1" bestFit="1" customWidth="1"/>
    <col min="3334" max="3334" width="9.5703125" style="1" bestFit="1" customWidth="1"/>
    <col min="3335" max="3337" width="9.28515625" style="1" bestFit="1" customWidth="1"/>
    <col min="3338" max="3348" width="9.140625" style="1"/>
    <col min="3349" max="3349" width="20" style="1" customWidth="1"/>
    <col min="3350" max="3588" width="9.140625" style="1"/>
    <col min="3589" max="3589" width="9.28515625" style="1" bestFit="1" customWidth="1"/>
    <col min="3590" max="3590" width="9.5703125" style="1" bestFit="1" customWidth="1"/>
    <col min="3591" max="3593" width="9.28515625" style="1" bestFit="1" customWidth="1"/>
    <col min="3594" max="3604" width="9.140625" style="1"/>
    <col min="3605" max="3605" width="20" style="1" customWidth="1"/>
    <col min="3606" max="3844" width="9.140625" style="1"/>
    <col min="3845" max="3845" width="9.28515625" style="1" bestFit="1" customWidth="1"/>
    <col min="3846" max="3846" width="9.5703125" style="1" bestFit="1" customWidth="1"/>
    <col min="3847" max="3849" width="9.28515625" style="1" bestFit="1" customWidth="1"/>
    <col min="3850" max="3860" width="9.140625" style="1"/>
    <col min="3861" max="3861" width="20" style="1" customWidth="1"/>
    <col min="3862" max="4100" width="9.140625" style="1"/>
    <col min="4101" max="4101" width="9.28515625" style="1" bestFit="1" customWidth="1"/>
    <col min="4102" max="4102" width="9.5703125" style="1" bestFit="1" customWidth="1"/>
    <col min="4103" max="4105" width="9.28515625" style="1" bestFit="1" customWidth="1"/>
    <col min="4106" max="4116" width="9.140625" style="1"/>
    <col min="4117" max="4117" width="20" style="1" customWidth="1"/>
    <col min="4118" max="4356" width="9.140625" style="1"/>
    <col min="4357" max="4357" width="9.28515625" style="1" bestFit="1" customWidth="1"/>
    <col min="4358" max="4358" width="9.5703125" style="1" bestFit="1" customWidth="1"/>
    <col min="4359" max="4361" width="9.28515625" style="1" bestFit="1" customWidth="1"/>
    <col min="4362" max="4372" width="9.140625" style="1"/>
    <col min="4373" max="4373" width="20" style="1" customWidth="1"/>
    <col min="4374" max="4612" width="9.140625" style="1"/>
    <col min="4613" max="4613" width="9.28515625" style="1" bestFit="1" customWidth="1"/>
    <col min="4614" max="4614" width="9.5703125" style="1" bestFit="1" customWidth="1"/>
    <col min="4615" max="4617" width="9.28515625" style="1" bestFit="1" customWidth="1"/>
    <col min="4618" max="4628" width="9.140625" style="1"/>
    <col min="4629" max="4629" width="20" style="1" customWidth="1"/>
    <col min="4630" max="4868" width="9.140625" style="1"/>
    <col min="4869" max="4869" width="9.28515625" style="1" bestFit="1" customWidth="1"/>
    <col min="4870" max="4870" width="9.5703125" style="1" bestFit="1" customWidth="1"/>
    <col min="4871" max="4873" width="9.28515625" style="1" bestFit="1" customWidth="1"/>
    <col min="4874" max="4884" width="9.140625" style="1"/>
    <col min="4885" max="4885" width="20" style="1" customWidth="1"/>
    <col min="4886" max="5124" width="9.140625" style="1"/>
    <col min="5125" max="5125" width="9.28515625" style="1" bestFit="1" customWidth="1"/>
    <col min="5126" max="5126" width="9.5703125" style="1" bestFit="1" customWidth="1"/>
    <col min="5127" max="5129" width="9.28515625" style="1" bestFit="1" customWidth="1"/>
    <col min="5130" max="5140" width="9.140625" style="1"/>
    <col min="5141" max="5141" width="20" style="1" customWidth="1"/>
    <col min="5142" max="5380" width="9.140625" style="1"/>
    <col min="5381" max="5381" width="9.28515625" style="1" bestFit="1" customWidth="1"/>
    <col min="5382" max="5382" width="9.5703125" style="1" bestFit="1" customWidth="1"/>
    <col min="5383" max="5385" width="9.28515625" style="1" bestFit="1" customWidth="1"/>
    <col min="5386" max="5396" width="9.140625" style="1"/>
    <col min="5397" max="5397" width="20" style="1" customWidth="1"/>
    <col min="5398" max="5636" width="9.140625" style="1"/>
    <col min="5637" max="5637" width="9.28515625" style="1" bestFit="1" customWidth="1"/>
    <col min="5638" max="5638" width="9.5703125" style="1" bestFit="1" customWidth="1"/>
    <col min="5639" max="5641" width="9.28515625" style="1" bestFit="1" customWidth="1"/>
    <col min="5642" max="5652" width="9.140625" style="1"/>
    <col min="5653" max="5653" width="20" style="1" customWidth="1"/>
    <col min="5654" max="5892" width="9.140625" style="1"/>
    <col min="5893" max="5893" width="9.28515625" style="1" bestFit="1" customWidth="1"/>
    <col min="5894" max="5894" width="9.5703125" style="1" bestFit="1" customWidth="1"/>
    <col min="5895" max="5897" width="9.28515625" style="1" bestFit="1" customWidth="1"/>
    <col min="5898" max="5908" width="9.140625" style="1"/>
    <col min="5909" max="5909" width="20" style="1" customWidth="1"/>
    <col min="5910" max="6148" width="9.140625" style="1"/>
    <col min="6149" max="6149" width="9.28515625" style="1" bestFit="1" customWidth="1"/>
    <col min="6150" max="6150" width="9.5703125" style="1" bestFit="1" customWidth="1"/>
    <col min="6151" max="6153" width="9.28515625" style="1" bestFit="1" customWidth="1"/>
    <col min="6154" max="6164" width="9.140625" style="1"/>
    <col min="6165" max="6165" width="20" style="1" customWidth="1"/>
    <col min="6166" max="6404" width="9.140625" style="1"/>
    <col min="6405" max="6405" width="9.28515625" style="1" bestFit="1" customWidth="1"/>
    <col min="6406" max="6406" width="9.5703125" style="1" bestFit="1" customWidth="1"/>
    <col min="6407" max="6409" width="9.28515625" style="1" bestFit="1" customWidth="1"/>
    <col min="6410" max="6420" width="9.140625" style="1"/>
    <col min="6421" max="6421" width="20" style="1" customWidth="1"/>
    <col min="6422" max="6660" width="9.140625" style="1"/>
    <col min="6661" max="6661" width="9.28515625" style="1" bestFit="1" customWidth="1"/>
    <col min="6662" max="6662" width="9.5703125" style="1" bestFit="1" customWidth="1"/>
    <col min="6663" max="6665" width="9.28515625" style="1" bestFit="1" customWidth="1"/>
    <col min="6666" max="6676" width="9.140625" style="1"/>
    <col min="6677" max="6677" width="20" style="1" customWidth="1"/>
    <col min="6678" max="6916" width="9.140625" style="1"/>
    <col min="6917" max="6917" width="9.28515625" style="1" bestFit="1" customWidth="1"/>
    <col min="6918" max="6918" width="9.5703125" style="1" bestFit="1" customWidth="1"/>
    <col min="6919" max="6921" width="9.28515625" style="1" bestFit="1" customWidth="1"/>
    <col min="6922" max="6932" width="9.140625" style="1"/>
    <col min="6933" max="6933" width="20" style="1" customWidth="1"/>
    <col min="6934" max="7172" width="9.140625" style="1"/>
    <col min="7173" max="7173" width="9.28515625" style="1" bestFit="1" customWidth="1"/>
    <col min="7174" max="7174" width="9.5703125" style="1" bestFit="1" customWidth="1"/>
    <col min="7175" max="7177" width="9.28515625" style="1" bestFit="1" customWidth="1"/>
    <col min="7178" max="7188" width="9.140625" style="1"/>
    <col min="7189" max="7189" width="20" style="1" customWidth="1"/>
    <col min="7190" max="7428" width="9.140625" style="1"/>
    <col min="7429" max="7429" width="9.28515625" style="1" bestFit="1" customWidth="1"/>
    <col min="7430" max="7430" width="9.5703125" style="1" bestFit="1" customWidth="1"/>
    <col min="7431" max="7433" width="9.28515625" style="1" bestFit="1" customWidth="1"/>
    <col min="7434" max="7444" width="9.140625" style="1"/>
    <col min="7445" max="7445" width="20" style="1" customWidth="1"/>
    <col min="7446" max="7684" width="9.140625" style="1"/>
    <col min="7685" max="7685" width="9.28515625" style="1" bestFit="1" customWidth="1"/>
    <col min="7686" max="7686" width="9.5703125" style="1" bestFit="1" customWidth="1"/>
    <col min="7687" max="7689" width="9.28515625" style="1" bestFit="1" customWidth="1"/>
    <col min="7690" max="7700" width="9.140625" style="1"/>
    <col min="7701" max="7701" width="20" style="1" customWidth="1"/>
    <col min="7702" max="7940" width="9.140625" style="1"/>
    <col min="7941" max="7941" width="9.28515625" style="1" bestFit="1" customWidth="1"/>
    <col min="7942" max="7942" width="9.5703125" style="1" bestFit="1" customWidth="1"/>
    <col min="7943" max="7945" width="9.28515625" style="1" bestFit="1" customWidth="1"/>
    <col min="7946" max="7956" width="9.140625" style="1"/>
    <col min="7957" max="7957" width="20" style="1" customWidth="1"/>
    <col min="7958" max="8196" width="9.140625" style="1"/>
    <col min="8197" max="8197" width="9.28515625" style="1" bestFit="1" customWidth="1"/>
    <col min="8198" max="8198" width="9.5703125" style="1" bestFit="1" customWidth="1"/>
    <col min="8199" max="8201" width="9.28515625" style="1" bestFit="1" customWidth="1"/>
    <col min="8202" max="8212" width="9.140625" style="1"/>
    <col min="8213" max="8213" width="20" style="1" customWidth="1"/>
    <col min="8214" max="8452" width="9.140625" style="1"/>
    <col min="8453" max="8453" width="9.28515625" style="1" bestFit="1" customWidth="1"/>
    <col min="8454" max="8454" width="9.5703125" style="1" bestFit="1" customWidth="1"/>
    <col min="8455" max="8457" width="9.28515625" style="1" bestFit="1" customWidth="1"/>
    <col min="8458" max="8468" width="9.140625" style="1"/>
    <col min="8469" max="8469" width="20" style="1" customWidth="1"/>
    <col min="8470" max="8708" width="9.140625" style="1"/>
    <col min="8709" max="8709" width="9.28515625" style="1" bestFit="1" customWidth="1"/>
    <col min="8710" max="8710" width="9.5703125" style="1" bestFit="1" customWidth="1"/>
    <col min="8711" max="8713" width="9.28515625" style="1" bestFit="1" customWidth="1"/>
    <col min="8714" max="8724" width="9.140625" style="1"/>
    <col min="8725" max="8725" width="20" style="1" customWidth="1"/>
    <col min="8726" max="8964" width="9.140625" style="1"/>
    <col min="8965" max="8965" width="9.28515625" style="1" bestFit="1" customWidth="1"/>
    <col min="8966" max="8966" width="9.5703125" style="1" bestFit="1" customWidth="1"/>
    <col min="8967" max="8969" width="9.28515625" style="1" bestFit="1" customWidth="1"/>
    <col min="8970" max="8980" width="9.140625" style="1"/>
    <col min="8981" max="8981" width="20" style="1" customWidth="1"/>
    <col min="8982" max="9220" width="9.140625" style="1"/>
    <col min="9221" max="9221" width="9.28515625" style="1" bestFit="1" customWidth="1"/>
    <col min="9222" max="9222" width="9.5703125" style="1" bestFit="1" customWidth="1"/>
    <col min="9223" max="9225" width="9.28515625" style="1" bestFit="1" customWidth="1"/>
    <col min="9226" max="9236" width="9.140625" style="1"/>
    <col min="9237" max="9237" width="20" style="1" customWidth="1"/>
    <col min="9238" max="9476" width="9.140625" style="1"/>
    <col min="9477" max="9477" width="9.28515625" style="1" bestFit="1" customWidth="1"/>
    <col min="9478" max="9478" width="9.5703125" style="1" bestFit="1" customWidth="1"/>
    <col min="9479" max="9481" width="9.28515625" style="1" bestFit="1" customWidth="1"/>
    <col min="9482" max="9492" width="9.140625" style="1"/>
    <col min="9493" max="9493" width="20" style="1" customWidth="1"/>
    <col min="9494" max="9732" width="9.140625" style="1"/>
    <col min="9733" max="9733" width="9.28515625" style="1" bestFit="1" customWidth="1"/>
    <col min="9734" max="9734" width="9.5703125" style="1" bestFit="1" customWidth="1"/>
    <col min="9735" max="9737" width="9.28515625" style="1" bestFit="1" customWidth="1"/>
    <col min="9738" max="9748" width="9.140625" style="1"/>
    <col min="9749" max="9749" width="20" style="1" customWidth="1"/>
    <col min="9750" max="9988" width="9.140625" style="1"/>
    <col min="9989" max="9989" width="9.28515625" style="1" bestFit="1" customWidth="1"/>
    <col min="9990" max="9990" width="9.5703125" style="1" bestFit="1" customWidth="1"/>
    <col min="9991" max="9993" width="9.28515625" style="1" bestFit="1" customWidth="1"/>
    <col min="9994" max="10004" width="9.140625" style="1"/>
    <col min="10005" max="10005" width="20" style="1" customWidth="1"/>
    <col min="10006" max="10244" width="9.140625" style="1"/>
    <col min="10245" max="10245" width="9.28515625" style="1" bestFit="1" customWidth="1"/>
    <col min="10246" max="10246" width="9.5703125" style="1" bestFit="1" customWidth="1"/>
    <col min="10247" max="10249" width="9.28515625" style="1" bestFit="1" customWidth="1"/>
    <col min="10250" max="10260" width="9.140625" style="1"/>
    <col min="10261" max="10261" width="20" style="1" customWidth="1"/>
    <col min="10262" max="10500" width="9.140625" style="1"/>
    <col min="10501" max="10501" width="9.28515625" style="1" bestFit="1" customWidth="1"/>
    <col min="10502" max="10502" width="9.5703125" style="1" bestFit="1" customWidth="1"/>
    <col min="10503" max="10505" width="9.28515625" style="1" bestFit="1" customWidth="1"/>
    <col min="10506" max="10516" width="9.140625" style="1"/>
    <col min="10517" max="10517" width="20" style="1" customWidth="1"/>
    <col min="10518" max="10756" width="9.140625" style="1"/>
    <col min="10757" max="10757" width="9.28515625" style="1" bestFit="1" customWidth="1"/>
    <col min="10758" max="10758" width="9.5703125" style="1" bestFit="1" customWidth="1"/>
    <col min="10759" max="10761" width="9.28515625" style="1" bestFit="1" customWidth="1"/>
    <col min="10762" max="10772" width="9.140625" style="1"/>
    <col min="10773" max="10773" width="20" style="1" customWidth="1"/>
    <col min="10774" max="11012" width="9.140625" style="1"/>
    <col min="11013" max="11013" width="9.28515625" style="1" bestFit="1" customWidth="1"/>
    <col min="11014" max="11014" width="9.5703125" style="1" bestFit="1" customWidth="1"/>
    <col min="11015" max="11017" width="9.28515625" style="1" bestFit="1" customWidth="1"/>
    <col min="11018" max="11028" width="9.140625" style="1"/>
    <col min="11029" max="11029" width="20" style="1" customWidth="1"/>
    <col min="11030" max="11268" width="9.140625" style="1"/>
    <col min="11269" max="11269" width="9.28515625" style="1" bestFit="1" customWidth="1"/>
    <col min="11270" max="11270" width="9.5703125" style="1" bestFit="1" customWidth="1"/>
    <col min="11271" max="11273" width="9.28515625" style="1" bestFit="1" customWidth="1"/>
    <col min="11274" max="11284" width="9.140625" style="1"/>
    <col min="11285" max="11285" width="20" style="1" customWidth="1"/>
    <col min="11286" max="11524" width="9.140625" style="1"/>
    <col min="11525" max="11525" width="9.28515625" style="1" bestFit="1" customWidth="1"/>
    <col min="11526" max="11526" width="9.5703125" style="1" bestFit="1" customWidth="1"/>
    <col min="11527" max="11529" width="9.28515625" style="1" bestFit="1" customWidth="1"/>
    <col min="11530" max="11540" width="9.140625" style="1"/>
    <col min="11541" max="11541" width="20" style="1" customWidth="1"/>
    <col min="11542" max="11780" width="9.140625" style="1"/>
    <col min="11781" max="11781" width="9.28515625" style="1" bestFit="1" customWidth="1"/>
    <col min="11782" max="11782" width="9.5703125" style="1" bestFit="1" customWidth="1"/>
    <col min="11783" max="11785" width="9.28515625" style="1" bestFit="1" customWidth="1"/>
    <col min="11786" max="11796" width="9.140625" style="1"/>
    <col min="11797" max="11797" width="20" style="1" customWidth="1"/>
    <col min="11798" max="12036" width="9.140625" style="1"/>
    <col min="12037" max="12037" width="9.28515625" style="1" bestFit="1" customWidth="1"/>
    <col min="12038" max="12038" width="9.5703125" style="1" bestFit="1" customWidth="1"/>
    <col min="12039" max="12041" width="9.28515625" style="1" bestFit="1" customWidth="1"/>
    <col min="12042" max="12052" width="9.140625" style="1"/>
    <col min="12053" max="12053" width="20" style="1" customWidth="1"/>
    <col min="12054" max="12292" width="9.140625" style="1"/>
    <col min="12293" max="12293" width="9.28515625" style="1" bestFit="1" customWidth="1"/>
    <col min="12294" max="12294" width="9.5703125" style="1" bestFit="1" customWidth="1"/>
    <col min="12295" max="12297" width="9.28515625" style="1" bestFit="1" customWidth="1"/>
    <col min="12298" max="12308" width="9.140625" style="1"/>
    <col min="12309" max="12309" width="20" style="1" customWidth="1"/>
    <col min="12310" max="12548" width="9.140625" style="1"/>
    <col min="12549" max="12549" width="9.28515625" style="1" bestFit="1" customWidth="1"/>
    <col min="12550" max="12550" width="9.5703125" style="1" bestFit="1" customWidth="1"/>
    <col min="12551" max="12553" width="9.28515625" style="1" bestFit="1" customWidth="1"/>
    <col min="12554" max="12564" width="9.140625" style="1"/>
    <col min="12565" max="12565" width="20" style="1" customWidth="1"/>
    <col min="12566" max="12804" width="9.140625" style="1"/>
    <col min="12805" max="12805" width="9.28515625" style="1" bestFit="1" customWidth="1"/>
    <col min="12806" max="12806" width="9.5703125" style="1" bestFit="1" customWidth="1"/>
    <col min="12807" max="12809" width="9.28515625" style="1" bestFit="1" customWidth="1"/>
    <col min="12810" max="12820" width="9.140625" style="1"/>
    <col min="12821" max="12821" width="20" style="1" customWidth="1"/>
    <col min="12822" max="13060" width="9.140625" style="1"/>
    <col min="13061" max="13061" width="9.28515625" style="1" bestFit="1" customWidth="1"/>
    <col min="13062" max="13062" width="9.5703125" style="1" bestFit="1" customWidth="1"/>
    <col min="13063" max="13065" width="9.28515625" style="1" bestFit="1" customWidth="1"/>
    <col min="13066" max="13076" width="9.140625" style="1"/>
    <col min="13077" max="13077" width="20" style="1" customWidth="1"/>
    <col min="13078" max="13316" width="9.140625" style="1"/>
    <col min="13317" max="13317" width="9.28515625" style="1" bestFit="1" customWidth="1"/>
    <col min="13318" max="13318" width="9.5703125" style="1" bestFit="1" customWidth="1"/>
    <col min="13319" max="13321" width="9.28515625" style="1" bestFit="1" customWidth="1"/>
    <col min="13322" max="13332" width="9.140625" style="1"/>
    <col min="13333" max="13333" width="20" style="1" customWidth="1"/>
    <col min="13334" max="13572" width="9.140625" style="1"/>
    <col min="13573" max="13573" width="9.28515625" style="1" bestFit="1" customWidth="1"/>
    <col min="13574" max="13574" width="9.5703125" style="1" bestFit="1" customWidth="1"/>
    <col min="13575" max="13577" width="9.28515625" style="1" bestFit="1" customWidth="1"/>
    <col min="13578" max="13588" width="9.140625" style="1"/>
    <col min="13589" max="13589" width="20" style="1" customWidth="1"/>
    <col min="13590" max="13828" width="9.140625" style="1"/>
    <col min="13829" max="13829" width="9.28515625" style="1" bestFit="1" customWidth="1"/>
    <col min="13830" max="13830" width="9.5703125" style="1" bestFit="1" customWidth="1"/>
    <col min="13831" max="13833" width="9.28515625" style="1" bestFit="1" customWidth="1"/>
    <col min="13834" max="13844" width="9.140625" style="1"/>
    <col min="13845" max="13845" width="20" style="1" customWidth="1"/>
    <col min="13846" max="14084" width="9.140625" style="1"/>
    <col min="14085" max="14085" width="9.28515625" style="1" bestFit="1" customWidth="1"/>
    <col min="14086" max="14086" width="9.5703125" style="1" bestFit="1" customWidth="1"/>
    <col min="14087" max="14089" width="9.28515625" style="1" bestFit="1" customWidth="1"/>
    <col min="14090" max="14100" width="9.140625" style="1"/>
    <col min="14101" max="14101" width="20" style="1" customWidth="1"/>
    <col min="14102" max="14340" width="9.140625" style="1"/>
    <col min="14341" max="14341" width="9.28515625" style="1" bestFit="1" customWidth="1"/>
    <col min="14342" max="14342" width="9.5703125" style="1" bestFit="1" customWidth="1"/>
    <col min="14343" max="14345" width="9.28515625" style="1" bestFit="1" customWidth="1"/>
    <col min="14346" max="14356" width="9.140625" style="1"/>
    <col min="14357" max="14357" width="20" style="1" customWidth="1"/>
    <col min="14358" max="14596" width="9.140625" style="1"/>
    <col min="14597" max="14597" width="9.28515625" style="1" bestFit="1" customWidth="1"/>
    <col min="14598" max="14598" width="9.5703125" style="1" bestFit="1" customWidth="1"/>
    <col min="14599" max="14601" width="9.28515625" style="1" bestFit="1" customWidth="1"/>
    <col min="14602" max="14612" width="9.140625" style="1"/>
    <col min="14613" max="14613" width="20" style="1" customWidth="1"/>
    <col min="14614" max="14852" width="9.140625" style="1"/>
    <col min="14853" max="14853" width="9.28515625" style="1" bestFit="1" customWidth="1"/>
    <col min="14854" max="14854" width="9.5703125" style="1" bestFit="1" customWidth="1"/>
    <col min="14855" max="14857" width="9.28515625" style="1" bestFit="1" customWidth="1"/>
    <col min="14858" max="14868" width="9.140625" style="1"/>
    <col min="14869" max="14869" width="20" style="1" customWidth="1"/>
    <col min="14870" max="15108" width="9.140625" style="1"/>
    <col min="15109" max="15109" width="9.28515625" style="1" bestFit="1" customWidth="1"/>
    <col min="15110" max="15110" width="9.5703125" style="1" bestFit="1" customWidth="1"/>
    <col min="15111" max="15113" width="9.28515625" style="1" bestFit="1" customWidth="1"/>
    <col min="15114" max="15124" width="9.140625" style="1"/>
    <col min="15125" max="15125" width="20" style="1" customWidth="1"/>
    <col min="15126" max="15364" width="9.140625" style="1"/>
    <col min="15365" max="15365" width="9.28515625" style="1" bestFit="1" customWidth="1"/>
    <col min="15366" max="15366" width="9.5703125" style="1" bestFit="1" customWidth="1"/>
    <col min="15367" max="15369" width="9.28515625" style="1" bestFit="1" customWidth="1"/>
    <col min="15370" max="15380" width="9.140625" style="1"/>
    <col min="15381" max="15381" width="20" style="1" customWidth="1"/>
    <col min="15382" max="15620" width="9.140625" style="1"/>
    <col min="15621" max="15621" width="9.28515625" style="1" bestFit="1" customWidth="1"/>
    <col min="15622" max="15622" width="9.5703125" style="1" bestFit="1" customWidth="1"/>
    <col min="15623" max="15625" width="9.28515625" style="1" bestFit="1" customWidth="1"/>
    <col min="15626" max="15636" width="9.140625" style="1"/>
    <col min="15637" max="15637" width="20" style="1" customWidth="1"/>
    <col min="15638" max="15876" width="9.140625" style="1"/>
    <col min="15877" max="15877" width="9.28515625" style="1" bestFit="1" customWidth="1"/>
    <col min="15878" max="15878" width="9.5703125" style="1" bestFit="1" customWidth="1"/>
    <col min="15879" max="15881" width="9.28515625" style="1" bestFit="1" customWidth="1"/>
    <col min="15882" max="15892" width="9.140625" style="1"/>
    <col min="15893" max="15893" width="20" style="1" customWidth="1"/>
    <col min="15894" max="16132" width="9.140625" style="1"/>
    <col min="16133" max="16133" width="9.28515625" style="1" bestFit="1" customWidth="1"/>
    <col min="16134" max="16134" width="9.5703125" style="1" bestFit="1" customWidth="1"/>
    <col min="16135" max="16137" width="9.28515625" style="1" bestFit="1" customWidth="1"/>
    <col min="16138" max="16148" width="9.140625" style="1"/>
    <col min="16149" max="16149" width="20" style="1" customWidth="1"/>
    <col min="16150" max="16384" width="9.140625" style="1"/>
  </cols>
  <sheetData>
    <row r="2" spans="1:20" ht="408.75" customHeight="1" x14ac:dyDescent="0.2">
      <c r="A2" s="4" t="s">
        <v>73</v>
      </c>
    </row>
    <row r="3" spans="1:20" ht="15" x14ac:dyDescent="0.2">
      <c r="B3" s="18"/>
      <c r="Q3" s="6">
        <f>IF(P3&lt;=0,G3,#N/A)</f>
        <v>0</v>
      </c>
      <c r="R3" s="6">
        <f>IF(P3&gt;=0,G3,#N/A)</f>
        <v>0</v>
      </c>
      <c r="S3" s="6" t="e">
        <f>IF(P3&gt;0,G3*EXP(-2*K3),#N/A)</f>
        <v>#N/A</v>
      </c>
      <c r="T3" s="6" t="e">
        <f>IF(P3&gt;0,G3*EXP(2*K3),#N/A)</f>
        <v>#N/A</v>
      </c>
    </row>
    <row r="4" spans="1:20" ht="15" x14ac:dyDescent="0.25">
      <c r="A4" s="20" t="s">
        <v>0</v>
      </c>
      <c r="B4" t="s">
        <v>3</v>
      </c>
      <c r="C4" t="s">
        <v>2</v>
      </c>
      <c r="D4" s="20" t="s">
        <v>24</v>
      </c>
      <c r="E4" s="20" t="s">
        <v>4</v>
      </c>
      <c r="F4" s="20" t="s">
        <v>5</v>
      </c>
      <c r="G4" s="20" t="s">
        <v>282</v>
      </c>
      <c r="H4" t="s">
        <v>25</v>
      </c>
      <c r="I4" s="20" t="s">
        <v>26</v>
      </c>
      <c r="J4" s="20" t="s">
        <v>27</v>
      </c>
      <c r="K4" s="20" t="s">
        <v>6</v>
      </c>
      <c r="L4" s="20" t="s">
        <v>28</v>
      </c>
      <c r="M4" s="20" t="s">
        <v>331</v>
      </c>
      <c r="N4" t="s">
        <v>28</v>
      </c>
      <c r="O4" t="s">
        <v>331</v>
      </c>
      <c r="P4" t="s">
        <v>346</v>
      </c>
      <c r="Q4" s="20" t="s">
        <v>351</v>
      </c>
      <c r="R4" s="1" t="s">
        <v>4</v>
      </c>
      <c r="S4" s="1" t="s">
        <v>209</v>
      </c>
      <c r="T4" s="1" t="s">
        <v>210</v>
      </c>
    </row>
    <row r="5" spans="1:20" ht="15" x14ac:dyDescent="0.25">
      <c r="A5" s="20" t="s">
        <v>395</v>
      </c>
      <c r="B5">
        <v>1977</v>
      </c>
      <c r="C5">
        <v>1</v>
      </c>
      <c r="D5" s="20">
        <v>110529</v>
      </c>
      <c r="E5" s="20">
        <v>339689</v>
      </c>
      <c r="F5" s="20">
        <v>185035</v>
      </c>
      <c r="G5" s="20">
        <v>1.67408</v>
      </c>
      <c r="H5">
        <v>1.67408</v>
      </c>
      <c r="I5" s="20">
        <v>0.3</v>
      </c>
      <c r="J5" s="20">
        <v>0.60748599999999997</v>
      </c>
      <c r="K5" s="20">
        <v>2.0502199999999999</v>
      </c>
      <c r="L5" s="20">
        <v>0.84624200000000005</v>
      </c>
      <c r="M5" s="20"/>
      <c r="N5"/>
      <c r="O5"/>
      <c r="P5"/>
      <c r="Q5" s="6">
        <f t="shared" ref="Q5:Q9" si="0">IF(P5&lt;=0,G5,#N/A)</f>
        <v>1.67408</v>
      </c>
      <c r="R5" s="6">
        <f t="shared" ref="R5:R9" si="1">IF(P5&gt;=0,G5,#N/A)</f>
        <v>1.67408</v>
      </c>
      <c r="S5" s="6" t="e">
        <f t="shared" ref="S5:S9" si="2">IF(P5&gt;0,G5*EXP(-2*K5),#N/A)</f>
        <v>#N/A</v>
      </c>
      <c r="T5" s="6" t="e">
        <f t="shared" ref="T5:T9" si="3">IF(P5&gt;0,G5*EXP(2*K5),#N/A)</f>
        <v>#N/A</v>
      </c>
    </row>
    <row r="6" spans="1:20" ht="15" x14ac:dyDescent="0.25">
      <c r="A6" s="20" t="s">
        <v>395</v>
      </c>
      <c r="B6">
        <v>1980</v>
      </c>
      <c r="C6">
        <v>1</v>
      </c>
      <c r="D6" s="20">
        <v>96941.8</v>
      </c>
      <c r="E6" s="20">
        <v>193353</v>
      </c>
      <c r="F6" s="20">
        <v>162288</v>
      </c>
      <c r="G6" s="20">
        <v>1.67408</v>
      </c>
      <c r="H6">
        <v>1.67408</v>
      </c>
      <c r="I6" s="20">
        <v>0.3</v>
      </c>
      <c r="J6" s="20">
        <v>0.17514399999999999</v>
      </c>
      <c r="K6" s="20">
        <v>0.17041999999999999</v>
      </c>
      <c r="L6" s="20">
        <v>-1.03355</v>
      </c>
      <c r="M6" s="20"/>
      <c r="N6"/>
      <c r="O6"/>
      <c r="P6"/>
      <c r="Q6" s="6">
        <f t="shared" si="0"/>
        <v>1.67408</v>
      </c>
      <c r="R6" s="6">
        <f t="shared" si="1"/>
        <v>1.67408</v>
      </c>
      <c r="S6" s="6" t="e">
        <f t="shared" si="2"/>
        <v>#N/A</v>
      </c>
      <c r="T6" s="6" t="e">
        <f t="shared" si="3"/>
        <v>#N/A</v>
      </c>
    </row>
    <row r="7" spans="1:20" ht="15" x14ac:dyDescent="0.25">
      <c r="A7" s="20" t="s">
        <v>395</v>
      </c>
      <c r="B7">
        <v>1983</v>
      </c>
      <c r="C7">
        <v>1</v>
      </c>
      <c r="D7" s="20">
        <v>74547.7</v>
      </c>
      <c r="E7" s="20">
        <v>151984</v>
      </c>
      <c r="F7" s="20">
        <v>124799</v>
      </c>
      <c r="G7" s="20">
        <v>1.67408</v>
      </c>
      <c r="H7">
        <v>1.67408</v>
      </c>
      <c r="I7" s="20">
        <v>0.3</v>
      </c>
      <c r="J7" s="20">
        <v>0.197073</v>
      </c>
      <c r="K7" s="20">
        <v>0.21576600000000001</v>
      </c>
      <c r="L7" s="20">
        <v>-0.98820699999999995</v>
      </c>
      <c r="M7" s="20"/>
      <c r="N7"/>
      <c r="O7"/>
      <c r="P7"/>
      <c r="Q7" s="6">
        <f t="shared" si="0"/>
        <v>1.67408</v>
      </c>
      <c r="R7" s="6">
        <f t="shared" si="1"/>
        <v>1.67408</v>
      </c>
      <c r="S7" s="6" t="e">
        <f t="shared" si="2"/>
        <v>#N/A</v>
      </c>
      <c r="T7" s="6" t="e">
        <f t="shared" si="3"/>
        <v>#N/A</v>
      </c>
    </row>
    <row r="8" spans="1:20" ht="15" x14ac:dyDescent="0.25">
      <c r="A8" s="20" t="s">
        <v>395</v>
      </c>
      <c r="B8">
        <v>1986</v>
      </c>
      <c r="C8">
        <v>1</v>
      </c>
      <c r="D8" s="20">
        <v>51478</v>
      </c>
      <c r="E8" s="20">
        <v>55221.8</v>
      </c>
      <c r="F8" s="20">
        <v>86178.3</v>
      </c>
      <c r="G8" s="20">
        <v>1.67408</v>
      </c>
      <c r="H8">
        <v>1.67408</v>
      </c>
      <c r="I8" s="20">
        <v>0.3</v>
      </c>
      <c r="J8" s="20">
        <v>-0.44506000000000001</v>
      </c>
      <c r="K8" s="20">
        <v>1.1004400000000001</v>
      </c>
      <c r="L8" s="20">
        <v>-0.103537</v>
      </c>
      <c r="M8" s="20"/>
      <c r="N8"/>
      <c r="O8"/>
      <c r="P8"/>
      <c r="Q8" s="6">
        <f t="shared" si="0"/>
        <v>1.67408</v>
      </c>
      <c r="R8" s="6">
        <f t="shared" si="1"/>
        <v>1.67408</v>
      </c>
      <c r="S8" s="6" t="e">
        <f t="shared" si="2"/>
        <v>#N/A</v>
      </c>
      <c r="T8" s="6" t="e">
        <f t="shared" si="3"/>
        <v>#N/A</v>
      </c>
    </row>
    <row r="9" spans="1:20" ht="15" x14ac:dyDescent="0.25">
      <c r="A9" s="20" t="s">
        <v>395</v>
      </c>
      <c r="B9">
        <v>1989</v>
      </c>
      <c r="C9">
        <v>1</v>
      </c>
      <c r="D9" s="20">
        <v>34872.6</v>
      </c>
      <c r="E9" s="20">
        <v>59232.3</v>
      </c>
      <c r="F9" s="20">
        <v>58379.5</v>
      </c>
      <c r="G9" s="20">
        <v>1.67408</v>
      </c>
      <c r="H9">
        <v>1.67408</v>
      </c>
      <c r="I9" s="20">
        <v>0.3</v>
      </c>
      <c r="J9" s="20">
        <v>1.4501699999999999E-2</v>
      </c>
      <c r="K9" s="20">
        <v>1.16832E-3</v>
      </c>
      <c r="L9" s="20">
        <v>-1.2028000000000001</v>
      </c>
      <c r="M9" s="20"/>
      <c r="N9"/>
      <c r="O9"/>
      <c r="P9"/>
      <c r="Q9" s="6">
        <f t="shared" si="0"/>
        <v>1.67408</v>
      </c>
      <c r="R9" s="6">
        <f t="shared" si="1"/>
        <v>1.67408</v>
      </c>
      <c r="S9" s="6" t="e">
        <f t="shared" si="2"/>
        <v>#N/A</v>
      </c>
      <c r="T9" s="6" t="e">
        <f t="shared" si="3"/>
        <v>#N/A</v>
      </c>
    </row>
    <row r="10" spans="1:20" ht="15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 s="6"/>
      <c r="R10" s="6"/>
      <c r="S10" s="6"/>
      <c r="T10" s="6"/>
    </row>
    <row r="11" spans="1:20" ht="15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 s="6"/>
      <c r="R11" s="6"/>
      <c r="S11" s="6"/>
      <c r="T11" s="6"/>
    </row>
    <row r="12" spans="1:20" ht="15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 s="6"/>
      <c r="R12" s="6"/>
      <c r="S12" s="6"/>
      <c r="T12" s="6"/>
    </row>
    <row r="13" spans="1:20" ht="15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 s="6"/>
      <c r="R13" s="6"/>
      <c r="S13" s="6"/>
      <c r="T13" s="6"/>
    </row>
    <row r="14" spans="1:20" ht="15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 s="6"/>
      <c r="R14" s="6"/>
      <c r="S14" s="6"/>
      <c r="T14" s="6"/>
    </row>
    <row r="15" spans="1:20" ht="15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 s="6"/>
      <c r="R15" s="6"/>
      <c r="S15" s="6"/>
      <c r="T15" s="6"/>
    </row>
    <row r="16" spans="1:20" ht="15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 s="6"/>
      <c r="R16" s="6"/>
      <c r="S16" s="6"/>
      <c r="T16" s="6"/>
    </row>
    <row r="17" spans="1:20" ht="15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 s="6"/>
      <c r="R17" s="6"/>
      <c r="S17" s="6"/>
      <c r="T17" s="6"/>
    </row>
    <row r="18" spans="1:20" ht="15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 s="6"/>
      <c r="R18" s="6"/>
      <c r="S18" s="6"/>
      <c r="T18" s="6"/>
    </row>
    <row r="19" spans="1:20" ht="15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 s="6"/>
      <c r="R19" s="6"/>
      <c r="S19" s="6"/>
      <c r="T19" s="6"/>
    </row>
    <row r="20" spans="1:20" ht="15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 s="6"/>
      <c r="R20" s="6"/>
      <c r="S20" s="6"/>
      <c r="T20" s="6"/>
    </row>
    <row r="21" spans="1:20" ht="1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 s="6"/>
      <c r="R21" s="6"/>
      <c r="S21" s="6"/>
      <c r="T21" s="6"/>
    </row>
    <row r="22" spans="1:20" ht="1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 s="6"/>
      <c r="R22" s="6"/>
      <c r="S22" s="6"/>
      <c r="T22" s="6"/>
    </row>
    <row r="23" spans="1:20" ht="1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 s="6"/>
      <c r="R23" s="6"/>
      <c r="S23" s="6"/>
      <c r="T23" s="6"/>
    </row>
    <row r="24" spans="1:20" ht="1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 s="6"/>
      <c r="R24" s="6"/>
      <c r="S24" s="6"/>
      <c r="T24" s="6"/>
    </row>
    <row r="25" spans="1:20" ht="1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 s="6"/>
      <c r="R25" s="6"/>
      <c r="S25" s="6"/>
      <c r="T25" s="6"/>
    </row>
    <row r="26" spans="1:20" ht="1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 s="6"/>
      <c r="R26" s="6"/>
      <c r="S26" s="6"/>
      <c r="T26" s="6"/>
    </row>
    <row r="27" spans="1:20" ht="1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 s="6"/>
      <c r="R27" s="6"/>
      <c r="S27" s="6"/>
      <c r="T27" s="6"/>
    </row>
    <row r="28" spans="1:20" ht="1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 s="6"/>
      <c r="R28" s="6"/>
      <c r="S28" s="6"/>
      <c r="T28" s="6"/>
    </row>
    <row r="29" spans="1:20" ht="15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 s="6"/>
      <c r="R29" s="6"/>
      <c r="S29" s="6"/>
      <c r="T29" s="6"/>
    </row>
    <row r="30" spans="1:20" ht="15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 s="6"/>
      <c r="R30" s="6"/>
      <c r="S30" s="6"/>
      <c r="T30" s="6"/>
    </row>
    <row r="31" spans="1:20" ht="15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 s="6"/>
      <c r="R31" s="6"/>
      <c r="S31" s="6"/>
      <c r="T31" s="6"/>
    </row>
    <row r="32" spans="1:20" ht="15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 s="6"/>
      <c r="R32" s="6"/>
      <c r="S32" s="6"/>
      <c r="T32" s="6"/>
    </row>
    <row r="33" spans="1:20" ht="1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 s="6"/>
      <c r="R33" s="6"/>
      <c r="S33" s="6"/>
      <c r="T33" s="6"/>
    </row>
    <row r="34" spans="1:20" ht="1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 s="6"/>
      <c r="R34" s="6"/>
      <c r="S34" s="6"/>
      <c r="T34" s="6"/>
    </row>
    <row r="35" spans="1:20" ht="1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 s="6"/>
      <c r="R35" s="6"/>
      <c r="S35" s="6"/>
      <c r="T35" s="6"/>
    </row>
    <row r="36" spans="1:20" ht="1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 s="6"/>
      <c r="R36" s="6"/>
      <c r="S36" s="6"/>
      <c r="T36" s="6"/>
    </row>
    <row r="37" spans="1:20" ht="1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 s="6"/>
      <c r="R37" s="6"/>
      <c r="S37" s="6"/>
      <c r="T37" s="6"/>
    </row>
    <row r="38" spans="1:20" ht="1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 s="6"/>
      <c r="R38" s="6"/>
      <c r="S38" s="6"/>
      <c r="T38" s="6"/>
    </row>
    <row r="39" spans="1:20" ht="1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 s="6"/>
      <c r="R39" s="6"/>
      <c r="S39" s="6"/>
      <c r="T39" s="6"/>
    </row>
    <row r="40" spans="1:20" ht="1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 s="6"/>
      <c r="R40" s="6"/>
      <c r="S40" s="6"/>
      <c r="T40" s="6"/>
    </row>
    <row r="41" spans="1:20" ht="1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 s="6"/>
      <c r="R41" s="6"/>
      <c r="S41" s="6"/>
      <c r="T41" s="6"/>
    </row>
    <row r="42" spans="1:20" ht="1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 s="6"/>
      <c r="R42" s="6"/>
      <c r="S42" s="6"/>
      <c r="T42" s="6"/>
    </row>
    <row r="43" spans="1:20" ht="1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 s="6"/>
      <c r="R43" s="6"/>
      <c r="S43" s="6"/>
      <c r="T43" s="6"/>
    </row>
    <row r="44" spans="1:20" ht="1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 s="6"/>
      <c r="R44" s="6"/>
      <c r="S44" s="6"/>
      <c r="T44" s="6"/>
    </row>
    <row r="45" spans="1:20" ht="1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 s="6"/>
      <c r="R45" s="6"/>
      <c r="S45" s="6"/>
      <c r="T45" s="6"/>
    </row>
    <row r="46" spans="1:20" ht="1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 s="6"/>
      <c r="R46" s="6"/>
      <c r="S46" s="6"/>
      <c r="T46" s="6"/>
    </row>
    <row r="47" spans="1:20" ht="1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 s="6"/>
      <c r="R47" s="6"/>
      <c r="S47" s="6"/>
      <c r="T47" s="6"/>
    </row>
    <row r="48" spans="1:20" ht="1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 s="6"/>
      <c r="R48" s="6"/>
      <c r="S48" s="6"/>
      <c r="T48" s="6"/>
    </row>
    <row r="49" spans="1:20" ht="1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 s="6"/>
      <c r="R49" s="6"/>
      <c r="S49" s="6"/>
      <c r="T49" s="6"/>
    </row>
    <row r="50" spans="1:20" ht="1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 s="6"/>
      <c r="R50" s="6"/>
      <c r="S50" s="6"/>
      <c r="T50" s="6"/>
    </row>
    <row r="51" spans="1:20" ht="1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 s="6"/>
      <c r="R51" s="6"/>
      <c r="S51" s="6"/>
      <c r="T51" s="6"/>
    </row>
    <row r="52" spans="1:20" ht="1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 s="6"/>
      <c r="R52" s="6"/>
      <c r="S52" s="6"/>
      <c r="T52" s="6"/>
    </row>
    <row r="53" spans="1:20" ht="1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 s="6"/>
      <c r="R53" s="6"/>
      <c r="S53" s="6"/>
      <c r="T53" s="6"/>
    </row>
    <row r="54" spans="1:20" ht="1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 s="6"/>
      <c r="R54" s="6"/>
      <c r="S54" s="6"/>
      <c r="T54" s="6"/>
    </row>
    <row r="55" spans="1:20" ht="1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 s="6"/>
      <c r="R55" s="6"/>
      <c r="S55" s="6"/>
      <c r="T55" s="6"/>
    </row>
    <row r="56" spans="1:20" ht="1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 s="6"/>
      <c r="R56" s="6"/>
      <c r="S56" s="6"/>
      <c r="T56" s="6"/>
    </row>
    <row r="57" spans="1:20" ht="1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 s="6"/>
      <c r="R57" s="6"/>
      <c r="S57" s="6"/>
      <c r="T57" s="6"/>
    </row>
    <row r="58" spans="1:20" ht="1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 s="6"/>
      <c r="R58" s="6"/>
      <c r="S58" s="6"/>
      <c r="T58" s="6"/>
    </row>
    <row r="59" spans="1:20" ht="1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 s="6"/>
      <c r="R59" s="6"/>
      <c r="S59" s="6"/>
      <c r="T59" s="6"/>
    </row>
    <row r="60" spans="1:20" ht="1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 s="6"/>
      <c r="R60" s="6"/>
      <c r="S60" s="6"/>
      <c r="T60" s="6"/>
    </row>
    <row r="61" spans="1:20" ht="1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 s="6"/>
      <c r="R61" s="6"/>
      <c r="S61" s="6"/>
      <c r="T61" s="6"/>
    </row>
    <row r="62" spans="1:20" ht="1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 s="6"/>
      <c r="R62" s="6"/>
      <c r="S62" s="6"/>
      <c r="T62" s="6"/>
    </row>
    <row r="63" spans="1:20" ht="1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 s="6"/>
      <c r="R63" s="6"/>
      <c r="S63" s="6"/>
      <c r="T63" s="6"/>
    </row>
    <row r="64" spans="1:20" ht="1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 s="6"/>
      <c r="R64" s="6"/>
      <c r="S64" s="6"/>
      <c r="T64" s="6"/>
    </row>
    <row r="65" spans="1:20" ht="1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 s="6"/>
      <c r="R65" s="6"/>
      <c r="S65" s="6"/>
      <c r="T65" s="6"/>
    </row>
    <row r="66" spans="1:20" ht="1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 s="6"/>
      <c r="R66" s="6"/>
      <c r="S66" s="6"/>
      <c r="T66" s="6"/>
    </row>
    <row r="67" spans="1:20" ht="1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 s="6"/>
      <c r="R67" s="6"/>
      <c r="S67" s="6"/>
      <c r="T67" s="6"/>
    </row>
    <row r="68" spans="1:20" ht="1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 s="6"/>
      <c r="R68" s="6"/>
      <c r="S68" s="6"/>
      <c r="T68" s="6"/>
    </row>
    <row r="69" spans="1:20" ht="1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 s="6"/>
      <c r="R69" s="6"/>
      <c r="S69" s="6"/>
      <c r="T69" s="6"/>
    </row>
    <row r="70" spans="1:20" ht="1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 s="6"/>
      <c r="R70" s="6"/>
      <c r="S70" s="6"/>
      <c r="T70" s="6"/>
    </row>
    <row r="71" spans="1:20" ht="1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 s="6"/>
      <c r="R71" s="6"/>
      <c r="S71" s="6"/>
      <c r="T71" s="6"/>
    </row>
    <row r="72" spans="1:20" ht="15" x14ac:dyDescent="0.25">
      <c r="A72"/>
      <c r="B72"/>
      <c r="C72"/>
      <c r="D72"/>
      <c r="E72"/>
      <c r="F72"/>
      <c r="G72"/>
      <c r="H72"/>
      <c r="I72"/>
      <c r="J72"/>
      <c r="K72"/>
      <c r="L72"/>
      <c r="M72" s="8"/>
      <c r="N72"/>
      <c r="O72"/>
      <c r="P72"/>
      <c r="Q72" s="6"/>
      <c r="R72" s="6"/>
      <c r="S72" s="6"/>
      <c r="T72" s="6"/>
    </row>
    <row r="73" spans="1:20" ht="1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 s="6"/>
      <c r="R73" s="6"/>
      <c r="S73" s="6"/>
      <c r="T73" s="6"/>
    </row>
    <row r="74" spans="1:20" ht="1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 s="6"/>
      <c r="R74" s="6"/>
      <c r="S74" s="6"/>
      <c r="T74" s="6"/>
    </row>
    <row r="75" spans="1:20" ht="1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 s="6"/>
      <c r="R75" s="6"/>
      <c r="S75" s="6"/>
      <c r="T75" s="6"/>
    </row>
    <row r="76" spans="1:20" ht="1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 s="6"/>
      <c r="R76" s="6"/>
      <c r="S76" s="6"/>
      <c r="T76" s="6"/>
    </row>
    <row r="77" spans="1:20" ht="1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 s="6"/>
      <c r="R77" s="6"/>
      <c r="S77" s="6"/>
      <c r="T77" s="6"/>
    </row>
    <row r="78" spans="1:20" ht="1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 s="6"/>
      <c r="R78" s="6"/>
      <c r="S78" s="6"/>
      <c r="T78" s="6"/>
    </row>
    <row r="79" spans="1:20" ht="1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 s="6"/>
      <c r="R79" s="6"/>
      <c r="S79" s="6"/>
      <c r="T79" s="6"/>
    </row>
    <row r="80" spans="1:20" ht="1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 s="6"/>
      <c r="R80" s="6"/>
      <c r="S80" s="6"/>
      <c r="T80" s="6"/>
    </row>
    <row r="81" spans="1:20" ht="1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 s="6"/>
      <c r="R81" s="6"/>
      <c r="S81" s="6"/>
      <c r="T81" s="6"/>
    </row>
    <row r="82" spans="1:20" ht="1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 s="6"/>
      <c r="R82" s="6"/>
      <c r="S82" s="6"/>
      <c r="T82" s="6"/>
    </row>
    <row r="83" spans="1:20" ht="1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 s="6"/>
      <c r="R83" s="6"/>
      <c r="S83" s="6"/>
      <c r="T83" s="6"/>
    </row>
    <row r="84" spans="1:20" ht="1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 s="6"/>
      <c r="R84" s="6"/>
      <c r="S84" s="6"/>
      <c r="T84" s="6"/>
    </row>
    <row r="85" spans="1:20" ht="1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 s="6"/>
      <c r="R85" s="6"/>
      <c r="S85" s="6"/>
      <c r="T85" s="6"/>
    </row>
    <row r="86" spans="1:20" ht="1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 s="6"/>
      <c r="R86" s="6"/>
      <c r="S86" s="6"/>
      <c r="T86" s="6"/>
    </row>
    <row r="87" spans="1:20" ht="1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 s="6"/>
      <c r="R87" s="6"/>
      <c r="S87" s="6"/>
      <c r="T87" s="6"/>
    </row>
    <row r="88" spans="1:20" ht="1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 s="6"/>
      <c r="R88" s="6"/>
      <c r="S88" s="6"/>
      <c r="T88" s="6"/>
    </row>
    <row r="89" spans="1:20" ht="1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 s="6"/>
      <c r="R89" s="6"/>
      <c r="S89" s="6"/>
      <c r="T89" s="6"/>
    </row>
    <row r="90" spans="1:20" ht="1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 s="6"/>
      <c r="R90" s="6"/>
      <c r="S90" s="6"/>
      <c r="T90" s="6"/>
    </row>
    <row r="91" spans="1:20" ht="1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 s="6"/>
      <c r="R91" s="6"/>
      <c r="S91" s="6"/>
      <c r="T91" s="6"/>
    </row>
    <row r="92" spans="1:20" ht="1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 s="6"/>
      <c r="R92" s="6"/>
      <c r="S92" s="6"/>
      <c r="T92" s="6"/>
    </row>
    <row r="93" spans="1:20" ht="1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 s="6"/>
      <c r="R93" s="6"/>
      <c r="S93" s="6"/>
      <c r="T93" s="6"/>
    </row>
    <row r="94" spans="1:20" ht="1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 s="6"/>
      <c r="R94" s="6"/>
      <c r="S94" s="6"/>
      <c r="T94" s="6"/>
    </row>
    <row r="95" spans="1:20" ht="1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 s="6"/>
      <c r="R95" s="6"/>
      <c r="S95" s="6"/>
      <c r="T95" s="6"/>
    </row>
    <row r="96" spans="1:20" ht="1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 s="6"/>
      <c r="R96" s="6"/>
      <c r="S96" s="6"/>
      <c r="T96" s="6"/>
    </row>
    <row r="97" spans="1:20" ht="1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 s="6"/>
      <c r="R97" s="6"/>
      <c r="S97" s="6"/>
      <c r="T97" s="6"/>
    </row>
    <row r="98" spans="1:20" ht="1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 s="6"/>
      <c r="R98" s="6"/>
      <c r="S98" s="6"/>
      <c r="T98" s="6"/>
    </row>
    <row r="99" spans="1:20" ht="1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 s="6"/>
      <c r="R99" s="6"/>
      <c r="S99" s="6"/>
      <c r="T99" s="6"/>
    </row>
    <row r="100" spans="1:20" ht="1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 s="6"/>
      <c r="R100" s="6"/>
      <c r="S100" s="6"/>
      <c r="T100" s="6"/>
    </row>
    <row r="101" spans="1:20" ht="1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 s="6"/>
      <c r="R101" s="6"/>
      <c r="S101" s="6"/>
      <c r="T101" s="6"/>
    </row>
    <row r="102" spans="1:20" ht="1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 s="6"/>
      <c r="R102" s="6"/>
      <c r="S102" s="6"/>
      <c r="T102" s="6"/>
    </row>
    <row r="103" spans="1:20" ht="1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 s="6"/>
      <c r="R103" s="6"/>
      <c r="S103" s="6"/>
      <c r="T103" s="6"/>
    </row>
    <row r="104" spans="1:20" ht="1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 s="6"/>
      <c r="R104" s="6"/>
      <c r="S104" s="6"/>
      <c r="T104" s="6"/>
    </row>
    <row r="105" spans="1:20" ht="1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 s="6"/>
      <c r="R105" s="6"/>
      <c r="S105" s="6"/>
      <c r="T105" s="6"/>
    </row>
    <row r="106" spans="1:20" ht="1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 s="6"/>
      <c r="R106" s="6"/>
      <c r="S106" s="6"/>
      <c r="T106" s="6"/>
    </row>
    <row r="107" spans="1:20" ht="1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 s="6"/>
      <c r="R107" s="6"/>
      <c r="S107" s="6"/>
      <c r="T107" s="6"/>
    </row>
    <row r="108" spans="1:20" ht="1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 s="6"/>
      <c r="R108" s="6"/>
      <c r="S108" s="6"/>
      <c r="T108" s="6"/>
    </row>
    <row r="109" spans="1:20" ht="1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 s="6"/>
      <c r="R109" s="6"/>
      <c r="S109" s="6"/>
      <c r="T109" s="6"/>
    </row>
    <row r="110" spans="1:20" ht="1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 s="6"/>
      <c r="R110" s="6"/>
      <c r="S110" s="6"/>
      <c r="T110" s="6"/>
    </row>
    <row r="111" spans="1:20" ht="1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 s="6"/>
      <c r="R111" s="6"/>
      <c r="S111" s="6"/>
      <c r="T111" s="6"/>
    </row>
    <row r="112" spans="1:20" ht="1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 s="6"/>
      <c r="R112" s="6"/>
      <c r="S112" s="6"/>
      <c r="T112" s="6"/>
    </row>
    <row r="113" spans="1:20" ht="1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 s="6"/>
      <c r="R113" s="6"/>
      <c r="S113" s="6"/>
      <c r="T113" s="6"/>
    </row>
    <row r="114" spans="1:20" ht="1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 s="6"/>
      <c r="R114" s="6"/>
      <c r="S114" s="6"/>
      <c r="T114" s="6"/>
    </row>
    <row r="115" spans="1:20" ht="1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 s="6"/>
      <c r="R115" s="6"/>
      <c r="S115" s="6"/>
      <c r="T115" s="6"/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I29"/>
  <sheetViews>
    <sheetView zoomScale="50" zoomScaleNormal="50" workbookViewId="0"/>
  </sheetViews>
  <sheetFormatPr defaultRowHeight="12.75" x14ac:dyDescent="0.2"/>
  <cols>
    <col min="1" max="1" width="10.140625" style="1" customWidth="1"/>
    <col min="2" max="3" width="14.140625" style="1" customWidth="1"/>
    <col min="4" max="4" width="14.42578125" style="1" customWidth="1"/>
    <col min="5" max="5" width="12.7109375" style="1" customWidth="1"/>
    <col min="6" max="6" width="25.5703125" style="1" customWidth="1"/>
    <col min="7" max="8" width="13.28515625" style="1" customWidth="1"/>
    <col min="9" max="9" width="16.7109375" style="1" customWidth="1"/>
    <col min="10" max="10" width="17.28515625" style="1" customWidth="1"/>
    <col min="11" max="11" width="17.5703125" style="1" customWidth="1"/>
    <col min="12" max="12" width="17.28515625" style="1" customWidth="1"/>
    <col min="13" max="13" width="11.85546875" style="1" customWidth="1"/>
    <col min="14" max="14" width="8.140625" style="1" customWidth="1"/>
    <col min="15" max="15" width="7.5703125" style="1" customWidth="1"/>
    <col min="16" max="16" width="14.7109375" style="1" customWidth="1"/>
    <col min="17" max="17" width="4.7109375" style="1" customWidth="1"/>
    <col min="18" max="18" width="8.7109375" style="1" customWidth="1"/>
    <col min="19" max="19" width="8.42578125" style="1" customWidth="1"/>
    <col min="20" max="20" width="16.42578125" style="1" customWidth="1"/>
    <col min="21" max="21" width="15.5703125" style="1" customWidth="1"/>
    <col min="22" max="22" width="9.5703125" style="1" customWidth="1"/>
    <col min="23" max="257" width="9.140625" style="1"/>
    <col min="258" max="258" width="5.28515625" style="1" customWidth="1"/>
    <col min="259" max="260" width="9.5703125" style="1" customWidth="1"/>
    <col min="261" max="261" width="7.85546875" style="1" customWidth="1"/>
    <col min="262" max="262" width="22.140625" style="1" customWidth="1"/>
    <col min="263" max="263" width="8.7109375" style="1" customWidth="1"/>
    <col min="264" max="264" width="8.140625" style="1" customWidth="1"/>
    <col min="265" max="265" width="13" style="1" customWidth="1"/>
    <col min="266" max="266" width="13.5703125" style="1" customWidth="1"/>
    <col min="267" max="268" width="13.28515625" style="1" customWidth="1"/>
    <col min="269" max="269" width="6.7109375" style="1" customWidth="1"/>
    <col min="270" max="270" width="8.140625" style="1" customWidth="1"/>
    <col min="271" max="271" width="7.28515625" style="1" customWidth="1"/>
    <col min="272" max="272" width="15" style="1" customWidth="1"/>
    <col min="273" max="273" width="3.85546875" style="1" customWidth="1"/>
    <col min="274" max="274" width="10.85546875" style="1" bestFit="1" customWidth="1"/>
    <col min="275" max="275" width="10.5703125" style="1" bestFit="1" customWidth="1"/>
    <col min="276" max="276" width="20.85546875" style="1" bestFit="1" customWidth="1"/>
    <col min="277" max="277" width="19.85546875" style="1" bestFit="1" customWidth="1"/>
    <col min="278" max="278" width="12" style="1" bestFit="1" customWidth="1"/>
    <col min="279" max="513" width="9.140625" style="1"/>
    <col min="514" max="514" width="5.28515625" style="1" customWidth="1"/>
    <col min="515" max="516" width="9.5703125" style="1" customWidth="1"/>
    <col min="517" max="517" width="7.85546875" style="1" customWidth="1"/>
    <col min="518" max="518" width="22.140625" style="1" customWidth="1"/>
    <col min="519" max="519" width="8.7109375" style="1" customWidth="1"/>
    <col min="520" max="520" width="8.140625" style="1" customWidth="1"/>
    <col min="521" max="521" width="13" style="1" customWidth="1"/>
    <col min="522" max="522" width="13.5703125" style="1" customWidth="1"/>
    <col min="523" max="524" width="13.28515625" style="1" customWidth="1"/>
    <col min="525" max="525" width="6.7109375" style="1" customWidth="1"/>
    <col min="526" max="526" width="8.140625" style="1" customWidth="1"/>
    <col min="527" max="527" width="7.28515625" style="1" customWidth="1"/>
    <col min="528" max="528" width="15" style="1" customWidth="1"/>
    <col min="529" max="529" width="3.85546875" style="1" customWidth="1"/>
    <col min="530" max="530" width="10.85546875" style="1" bestFit="1" customWidth="1"/>
    <col min="531" max="531" width="10.5703125" style="1" bestFit="1" customWidth="1"/>
    <col min="532" max="532" width="20.85546875" style="1" bestFit="1" customWidth="1"/>
    <col min="533" max="533" width="19.85546875" style="1" bestFit="1" customWidth="1"/>
    <col min="534" max="534" width="12" style="1" bestFit="1" customWidth="1"/>
    <col min="535" max="769" width="9.140625" style="1"/>
    <col min="770" max="770" width="5.28515625" style="1" customWidth="1"/>
    <col min="771" max="772" width="9.5703125" style="1" customWidth="1"/>
    <col min="773" max="773" width="7.85546875" style="1" customWidth="1"/>
    <col min="774" max="774" width="22.140625" style="1" customWidth="1"/>
    <col min="775" max="775" width="8.7109375" style="1" customWidth="1"/>
    <col min="776" max="776" width="8.140625" style="1" customWidth="1"/>
    <col min="777" max="777" width="13" style="1" customWidth="1"/>
    <col min="778" max="778" width="13.5703125" style="1" customWidth="1"/>
    <col min="779" max="780" width="13.28515625" style="1" customWidth="1"/>
    <col min="781" max="781" width="6.7109375" style="1" customWidth="1"/>
    <col min="782" max="782" width="8.140625" style="1" customWidth="1"/>
    <col min="783" max="783" width="7.28515625" style="1" customWidth="1"/>
    <col min="784" max="784" width="15" style="1" customWidth="1"/>
    <col min="785" max="785" width="3.85546875" style="1" customWidth="1"/>
    <col min="786" max="786" width="10.85546875" style="1" bestFit="1" customWidth="1"/>
    <col min="787" max="787" width="10.5703125" style="1" bestFit="1" customWidth="1"/>
    <col min="788" max="788" width="20.85546875" style="1" bestFit="1" customWidth="1"/>
    <col min="789" max="789" width="19.85546875" style="1" bestFit="1" customWidth="1"/>
    <col min="790" max="790" width="12" style="1" bestFit="1" customWidth="1"/>
    <col min="791" max="1025" width="9.140625" style="1"/>
    <col min="1026" max="1026" width="5.28515625" style="1" customWidth="1"/>
    <col min="1027" max="1028" width="9.5703125" style="1" customWidth="1"/>
    <col min="1029" max="1029" width="7.85546875" style="1" customWidth="1"/>
    <col min="1030" max="1030" width="22.140625" style="1" customWidth="1"/>
    <col min="1031" max="1031" width="8.7109375" style="1" customWidth="1"/>
    <col min="1032" max="1032" width="8.140625" style="1" customWidth="1"/>
    <col min="1033" max="1033" width="13" style="1" customWidth="1"/>
    <col min="1034" max="1034" width="13.5703125" style="1" customWidth="1"/>
    <col min="1035" max="1036" width="13.28515625" style="1" customWidth="1"/>
    <col min="1037" max="1037" width="6.7109375" style="1" customWidth="1"/>
    <col min="1038" max="1038" width="8.140625" style="1" customWidth="1"/>
    <col min="1039" max="1039" width="7.28515625" style="1" customWidth="1"/>
    <col min="1040" max="1040" width="15" style="1" customWidth="1"/>
    <col min="1041" max="1041" width="3.85546875" style="1" customWidth="1"/>
    <col min="1042" max="1042" width="10.85546875" style="1" bestFit="1" customWidth="1"/>
    <col min="1043" max="1043" width="10.5703125" style="1" bestFit="1" customWidth="1"/>
    <col min="1044" max="1044" width="20.85546875" style="1" bestFit="1" customWidth="1"/>
    <col min="1045" max="1045" width="19.85546875" style="1" bestFit="1" customWidth="1"/>
    <col min="1046" max="1046" width="12" style="1" bestFit="1" customWidth="1"/>
    <col min="1047" max="1281" width="9.140625" style="1"/>
    <col min="1282" max="1282" width="5.28515625" style="1" customWidth="1"/>
    <col min="1283" max="1284" width="9.5703125" style="1" customWidth="1"/>
    <col min="1285" max="1285" width="7.85546875" style="1" customWidth="1"/>
    <col min="1286" max="1286" width="22.140625" style="1" customWidth="1"/>
    <col min="1287" max="1287" width="8.7109375" style="1" customWidth="1"/>
    <col min="1288" max="1288" width="8.140625" style="1" customWidth="1"/>
    <col min="1289" max="1289" width="13" style="1" customWidth="1"/>
    <col min="1290" max="1290" width="13.5703125" style="1" customWidth="1"/>
    <col min="1291" max="1292" width="13.28515625" style="1" customWidth="1"/>
    <col min="1293" max="1293" width="6.7109375" style="1" customWidth="1"/>
    <col min="1294" max="1294" width="8.140625" style="1" customWidth="1"/>
    <col min="1295" max="1295" width="7.28515625" style="1" customWidth="1"/>
    <col min="1296" max="1296" width="15" style="1" customWidth="1"/>
    <col min="1297" max="1297" width="3.85546875" style="1" customWidth="1"/>
    <col min="1298" max="1298" width="10.85546875" style="1" bestFit="1" customWidth="1"/>
    <col min="1299" max="1299" width="10.5703125" style="1" bestFit="1" customWidth="1"/>
    <col min="1300" max="1300" width="20.85546875" style="1" bestFit="1" customWidth="1"/>
    <col min="1301" max="1301" width="19.85546875" style="1" bestFit="1" customWidth="1"/>
    <col min="1302" max="1302" width="12" style="1" bestFit="1" customWidth="1"/>
    <col min="1303" max="1537" width="9.140625" style="1"/>
    <col min="1538" max="1538" width="5.28515625" style="1" customWidth="1"/>
    <col min="1539" max="1540" width="9.5703125" style="1" customWidth="1"/>
    <col min="1541" max="1541" width="7.85546875" style="1" customWidth="1"/>
    <col min="1542" max="1542" width="22.140625" style="1" customWidth="1"/>
    <col min="1543" max="1543" width="8.7109375" style="1" customWidth="1"/>
    <col min="1544" max="1544" width="8.140625" style="1" customWidth="1"/>
    <col min="1545" max="1545" width="13" style="1" customWidth="1"/>
    <col min="1546" max="1546" width="13.5703125" style="1" customWidth="1"/>
    <col min="1547" max="1548" width="13.28515625" style="1" customWidth="1"/>
    <col min="1549" max="1549" width="6.7109375" style="1" customWidth="1"/>
    <col min="1550" max="1550" width="8.140625" style="1" customWidth="1"/>
    <col min="1551" max="1551" width="7.28515625" style="1" customWidth="1"/>
    <col min="1552" max="1552" width="15" style="1" customWidth="1"/>
    <col min="1553" max="1553" width="3.85546875" style="1" customWidth="1"/>
    <col min="1554" max="1554" width="10.85546875" style="1" bestFit="1" customWidth="1"/>
    <col min="1555" max="1555" width="10.5703125" style="1" bestFit="1" customWidth="1"/>
    <col min="1556" max="1556" width="20.85546875" style="1" bestFit="1" customWidth="1"/>
    <col min="1557" max="1557" width="19.85546875" style="1" bestFit="1" customWidth="1"/>
    <col min="1558" max="1558" width="12" style="1" bestFit="1" customWidth="1"/>
    <col min="1559" max="1793" width="9.140625" style="1"/>
    <col min="1794" max="1794" width="5.28515625" style="1" customWidth="1"/>
    <col min="1795" max="1796" width="9.5703125" style="1" customWidth="1"/>
    <col min="1797" max="1797" width="7.85546875" style="1" customWidth="1"/>
    <col min="1798" max="1798" width="22.140625" style="1" customWidth="1"/>
    <col min="1799" max="1799" width="8.7109375" style="1" customWidth="1"/>
    <col min="1800" max="1800" width="8.140625" style="1" customWidth="1"/>
    <col min="1801" max="1801" width="13" style="1" customWidth="1"/>
    <col min="1802" max="1802" width="13.5703125" style="1" customWidth="1"/>
    <col min="1803" max="1804" width="13.28515625" style="1" customWidth="1"/>
    <col min="1805" max="1805" width="6.7109375" style="1" customWidth="1"/>
    <col min="1806" max="1806" width="8.140625" style="1" customWidth="1"/>
    <col min="1807" max="1807" width="7.28515625" style="1" customWidth="1"/>
    <col min="1808" max="1808" width="15" style="1" customWidth="1"/>
    <col min="1809" max="1809" width="3.85546875" style="1" customWidth="1"/>
    <col min="1810" max="1810" width="10.85546875" style="1" bestFit="1" customWidth="1"/>
    <col min="1811" max="1811" width="10.5703125" style="1" bestFit="1" customWidth="1"/>
    <col min="1812" max="1812" width="20.85546875" style="1" bestFit="1" customWidth="1"/>
    <col min="1813" max="1813" width="19.85546875" style="1" bestFit="1" customWidth="1"/>
    <col min="1814" max="1814" width="12" style="1" bestFit="1" customWidth="1"/>
    <col min="1815" max="2049" width="9.140625" style="1"/>
    <col min="2050" max="2050" width="5.28515625" style="1" customWidth="1"/>
    <col min="2051" max="2052" width="9.5703125" style="1" customWidth="1"/>
    <col min="2053" max="2053" width="7.85546875" style="1" customWidth="1"/>
    <col min="2054" max="2054" width="22.140625" style="1" customWidth="1"/>
    <col min="2055" max="2055" width="8.7109375" style="1" customWidth="1"/>
    <col min="2056" max="2056" width="8.140625" style="1" customWidth="1"/>
    <col min="2057" max="2057" width="13" style="1" customWidth="1"/>
    <col min="2058" max="2058" width="13.5703125" style="1" customWidth="1"/>
    <col min="2059" max="2060" width="13.28515625" style="1" customWidth="1"/>
    <col min="2061" max="2061" width="6.7109375" style="1" customWidth="1"/>
    <col min="2062" max="2062" width="8.140625" style="1" customWidth="1"/>
    <col min="2063" max="2063" width="7.28515625" style="1" customWidth="1"/>
    <col min="2064" max="2064" width="15" style="1" customWidth="1"/>
    <col min="2065" max="2065" width="3.85546875" style="1" customWidth="1"/>
    <col min="2066" max="2066" width="10.85546875" style="1" bestFit="1" customWidth="1"/>
    <col min="2067" max="2067" width="10.5703125" style="1" bestFit="1" customWidth="1"/>
    <col min="2068" max="2068" width="20.85546875" style="1" bestFit="1" customWidth="1"/>
    <col min="2069" max="2069" width="19.85546875" style="1" bestFit="1" customWidth="1"/>
    <col min="2070" max="2070" width="12" style="1" bestFit="1" customWidth="1"/>
    <col min="2071" max="2305" width="9.140625" style="1"/>
    <col min="2306" max="2306" width="5.28515625" style="1" customWidth="1"/>
    <col min="2307" max="2308" width="9.5703125" style="1" customWidth="1"/>
    <col min="2309" max="2309" width="7.85546875" style="1" customWidth="1"/>
    <col min="2310" max="2310" width="22.140625" style="1" customWidth="1"/>
    <col min="2311" max="2311" width="8.7109375" style="1" customWidth="1"/>
    <col min="2312" max="2312" width="8.140625" style="1" customWidth="1"/>
    <col min="2313" max="2313" width="13" style="1" customWidth="1"/>
    <col min="2314" max="2314" width="13.5703125" style="1" customWidth="1"/>
    <col min="2315" max="2316" width="13.28515625" style="1" customWidth="1"/>
    <col min="2317" max="2317" width="6.7109375" style="1" customWidth="1"/>
    <col min="2318" max="2318" width="8.140625" style="1" customWidth="1"/>
    <col min="2319" max="2319" width="7.28515625" style="1" customWidth="1"/>
    <col min="2320" max="2320" width="15" style="1" customWidth="1"/>
    <col min="2321" max="2321" width="3.85546875" style="1" customWidth="1"/>
    <col min="2322" max="2322" width="10.85546875" style="1" bestFit="1" customWidth="1"/>
    <col min="2323" max="2323" width="10.5703125" style="1" bestFit="1" customWidth="1"/>
    <col min="2324" max="2324" width="20.85546875" style="1" bestFit="1" customWidth="1"/>
    <col min="2325" max="2325" width="19.85546875" style="1" bestFit="1" customWidth="1"/>
    <col min="2326" max="2326" width="12" style="1" bestFit="1" customWidth="1"/>
    <col min="2327" max="2561" width="9.140625" style="1"/>
    <col min="2562" max="2562" width="5.28515625" style="1" customWidth="1"/>
    <col min="2563" max="2564" width="9.5703125" style="1" customWidth="1"/>
    <col min="2565" max="2565" width="7.85546875" style="1" customWidth="1"/>
    <col min="2566" max="2566" width="22.140625" style="1" customWidth="1"/>
    <col min="2567" max="2567" width="8.7109375" style="1" customWidth="1"/>
    <col min="2568" max="2568" width="8.140625" style="1" customWidth="1"/>
    <col min="2569" max="2569" width="13" style="1" customWidth="1"/>
    <col min="2570" max="2570" width="13.5703125" style="1" customWidth="1"/>
    <col min="2571" max="2572" width="13.28515625" style="1" customWidth="1"/>
    <col min="2573" max="2573" width="6.7109375" style="1" customWidth="1"/>
    <col min="2574" max="2574" width="8.140625" style="1" customWidth="1"/>
    <col min="2575" max="2575" width="7.28515625" style="1" customWidth="1"/>
    <col min="2576" max="2576" width="15" style="1" customWidth="1"/>
    <col min="2577" max="2577" width="3.85546875" style="1" customWidth="1"/>
    <col min="2578" max="2578" width="10.85546875" style="1" bestFit="1" customWidth="1"/>
    <col min="2579" max="2579" width="10.5703125" style="1" bestFit="1" customWidth="1"/>
    <col min="2580" max="2580" width="20.85546875" style="1" bestFit="1" customWidth="1"/>
    <col min="2581" max="2581" width="19.85546875" style="1" bestFit="1" customWidth="1"/>
    <col min="2582" max="2582" width="12" style="1" bestFit="1" customWidth="1"/>
    <col min="2583" max="2817" width="9.140625" style="1"/>
    <col min="2818" max="2818" width="5.28515625" style="1" customWidth="1"/>
    <col min="2819" max="2820" width="9.5703125" style="1" customWidth="1"/>
    <col min="2821" max="2821" width="7.85546875" style="1" customWidth="1"/>
    <col min="2822" max="2822" width="22.140625" style="1" customWidth="1"/>
    <col min="2823" max="2823" width="8.7109375" style="1" customWidth="1"/>
    <col min="2824" max="2824" width="8.140625" style="1" customWidth="1"/>
    <col min="2825" max="2825" width="13" style="1" customWidth="1"/>
    <col min="2826" max="2826" width="13.5703125" style="1" customWidth="1"/>
    <col min="2827" max="2828" width="13.28515625" style="1" customWidth="1"/>
    <col min="2829" max="2829" width="6.7109375" style="1" customWidth="1"/>
    <col min="2830" max="2830" width="8.140625" style="1" customWidth="1"/>
    <col min="2831" max="2831" width="7.28515625" style="1" customWidth="1"/>
    <col min="2832" max="2832" width="15" style="1" customWidth="1"/>
    <col min="2833" max="2833" width="3.85546875" style="1" customWidth="1"/>
    <col min="2834" max="2834" width="10.85546875" style="1" bestFit="1" customWidth="1"/>
    <col min="2835" max="2835" width="10.5703125" style="1" bestFit="1" customWidth="1"/>
    <col min="2836" max="2836" width="20.85546875" style="1" bestFit="1" customWidth="1"/>
    <col min="2837" max="2837" width="19.85546875" style="1" bestFit="1" customWidth="1"/>
    <col min="2838" max="2838" width="12" style="1" bestFit="1" customWidth="1"/>
    <col min="2839" max="3073" width="9.140625" style="1"/>
    <col min="3074" max="3074" width="5.28515625" style="1" customWidth="1"/>
    <col min="3075" max="3076" width="9.5703125" style="1" customWidth="1"/>
    <col min="3077" max="3077" width="7.85546875" style="1" customWidth="1"/>
    <col min="3078" max="3078" width="22.140625" style="1" customWidth="1"/>
    <col min="3079" max="3079" width="8.7109375" style="1" customWidth="1"/>
    <col min="3080" max="3080" width="8.140625" style="1" customWidth="1"/>
    <col min="3081" max="3081" width="13" style="1" customWidth="1"/>
    <col min="3082" max="3082" width="13.5703125" style="1" customWidth="1"/>
    <col min="3083" max="3084" width="13.28515625" style="1" customWidth="1"/>
    <col min="3085" max="3085" width="6.7109375" style="1" customWidth="1"/>
    <col min="3086" max="3086" width="8.140625" style="1" customWidth="1"/>
    <col min="3087" max="3087" width="7.28515625" style="1" customWidth="1"/>
    <col min="3088" max="3088" width="15" style="1" customWidth="1"/>
    <col min="3089" max="3089" width="3.85546875" style="1" customWidth="1"/>
    <col min="3090" max="3090" width="10.85546875" style="1" bestFit="1" customWidth="1"/>
    <col min="3091" max="3091" width="10.5703125" style="1" bestFit="1" customWidth="1"/>
    <col min="3092" max="3092" width="20.85546875" style="1" bestFit="1" customWidth="1"/>
    <col min="3093" max="3093" width="19.85546875" style="1" bestFit="1" customWidth="1"/>
    <col min="3094" max="3094" width="12" style="1" bestFit="1" customWidth="1"/>
    <col min="3095" max="3329" width="9.140625" style="1"/>
    <col min="3330" max="3330" width="5.28515625" style="1" customWidth="1"/>
    <col min="3331" max="3332" width="9.5703125" style="1" customWidth="1"/>
    <col min="3333" max="3333" width="7.85546875" style="1" customWidth="1"/>
    <col min="3334" max="3334" width="22.140625" style="1" customWidth="1"/>
    <col min="3335" max="3335" width="8.7109375" style="1" customWidth="1"/>
    <col min="3336" max="3336" width="8.140625" style="1" customWidth="1"/>
    <col min="3337" max="3337" width="13" style="1" customWidth="1"/>
    <col min="3338" max="3338" width="13.5703125" style="1" customWidth="1"/>
    <col min="3339" max="3340" width="13.28515625" style="1" customWidth="1"/>
    <col min="3341" max="3341" width="6.7109375" style="1" customWidth="1"/>
    <col min="3342" max="3342" width="8.140625" style="1" customWidth="1"/>
    <col min="3343" max="3343" width="7.28515625" style="1" customWidth="1"/>
    <col min="3344" max="3344" width="15" style="1" customWidth="1"/>
    <col min="3345" max="3345" width="3.85546875" style="1" customWidth="1"/>
    <col min="3346" max="3346" width="10.85546875" style="1" bestFit="1" customWidth="1"/>
    <col min="3347" max="3347" width="10.5703125" style="1" bestFit="1" customWidth="1"/>
    <col min="3348" max="3348" width="20.85546875" style="1" bestFit="1" customWidth="1"/>
    <col min="3349" max="3349" width="19.85546875" style="1" bestFit="1" customWidth="1"/>
    <col min="3350" max="3350" width="12" style="1" bestFit="1" customWidth="1"/>
    <col min="3351" max="3585" width="9.140625" style="1"/>
    <col min="3586" max="3586" width="5.28515625" style="1" customWidth="1"/>
    <col min="3587" max="3588" width="9.5703125" style="1" customWidth="1"/>
    <col min="3589" max="3589" width="7.85546875" style="1" customWidth="1"/>
    <col min="3590" max="3590" width="22.140625" style="1" customWidth="1"/>
    <col min="3591" max="3591" width="8.7109375" style="1" customWidth="1"/>
    <col min="3592" max="3592" width="8.140625" style="1" customWidth="1"/>
    <col min="3593" max="3593" width="13" style="1" customWidth="1"/>
    <col min="3594" max="3594" width="13.5703125" style="1" customWidth="1"/>
    <col min="3595" max="3596" width="13.28515625" style="1" customWidth="1"/>
    <col min="3597" max="3597" width="6.7109375" style="1" customWidth="1"/>
    <col min="3598" max="3598" width="8.140625" style="1" customWidth="1"/>
    <col min="3599" max="3599" width="7.28515625" style="1" customWidth="1"/>
    <col min="3600" max="3600" width="15" style="1" customWidth="1"/>
    <col min="3601" max="3601" width="3.85546875" style="1" customWidth="1"/>
    <col min="3602" max="3602" width="10.85546875" style="1" bestFit="1" customWidth="1"/>
    <col min="3603" max="3603" width="10.5703125" style="1" bestFit="1" customWidth="1"/>
    <col min="3604" max="3604" width="20.85546875" style="1" bestFit="1" customWidth="1"/>
    <col min="3605" max="3605" width="19.85546875" style="1" bestFit="1" customWidth="1"/>
    <col min="3606" max="3606" width="12" style="1" bestFit="1" customWidth="1"/>
    <col min="3607" max="3841" width="9.140625" style="1"/>
    <col min="3842" max="3842" width="5.28515625" style="1" customWidth="1"/>
    <col min="3843" max="3844" width="9.5703125" style="1" customWidth="1"/>
    <col min="3845" max="3845" width="7.85546875" style="1" customWidth="1"/>
    <col min="3846" max="3846" width="22.140625" style="1" customWidth="1"/>
    <col min="3847" max="3847" width="8.7109375" style="1" customWidth="1"/>
    <col min="3848" max="3848" width="8.140625" style="1" customWidth="1"/>
    <col min="3849" max="3849" width="13" style="1" customWidth="1"/>
    <col min="3850" max="3850" width="13.5703125" style="1" customWidth="1"/>
    <col min="3851" max="3852" width="13.28515625" style="1" customWidth="1"/>
    <col min="3853" max="3853" width="6.7109375" style="1" customWidth="1"/>
    <col min="3854" max="3854" width="8.140625" style="1" customWidth="1"/>
    <col min="3855" max="3855" width="7.28515625" style="1" customWidth="1"/>
    <col min="3856" max="3856" width="15" style="1" customWidth="1"/>
    <col min="3857" max="3857" width="3.85546875" style="1" customWidth="1"/>
    <col min="3858" max="3858" width="10.85546875" style="1" bestFit="1" customWidth="1"/>
    <col min="3859" max="3859" width="10.5703125" style="1" bestFit="1" customWidth="1"/>
    <col min="3860" max="3860" width="20.85546875" style="1" bestFit="1" customWidth="1"/>
    <col min="3861" max="3861" width="19.85546875" style="1" bestFit="1" customWidth="1"/>
    <col min="3862" max="3862" width="12" style="1" bestFit="1" customWidth="1"/>
    <col min="3863" max="4097" width="9.140625" style="1"/>
    <col min="4098" max="4098" width="5.28515625" style="1" customWidth="1"/>
    <col min="4099" max="4100" width="9.5703125" style="1" customWidth="1"/>
    <col min="4101" max="4101" width="7.85546875" style="1" customWidth="1"/>
    <col min="4102" max="4102" width="22.140625" style="1" customWidth="1"/>
    <col min="4103" max="4103" width="8.7109375" style="1" customWidth="1"/>
    <col min="4104" max="4104" width="8.140625" style="1" customWidth="1"/>
    <col min="4105" max="4105" width="13" style="1" customWidth="1"/>
    <col min="4106" max="4106" width="13.5703125" style="1" customWidth="1"/>
    <col min="4107" max="4108" width="13.28515625" style="1" customWidth="1"/>
    <col min="4109" max="4109" width="6.7109375" style="1" customWidth="1"/>
    <col min="4110" max="4110" width="8.140625" style="1" customWidth="1"/>
    <col min="4111" max="4111" width="7.28515625" style="1" customWidth="1"/>
    <col min="4112" max="4112" width="15" style="1" customWidth="1"/>
    <col min="4113" max="4113" width="3.85546875" style="1" customWidth="1"/>
    <col min="4114" max="4114" width="10.85546875" style="1" bestFit="1" customWidth="1"/>
    <col min="4115" max="4115" width="10.5703125" style="1" bestFit="1" customWidth="1"/>
    <col min="4116" max="4116" width="20.85546875" style="1" bestFit="1" customWidth="1"/>
    <col min="4117" max="4117" width="19.85546875" style="1" bestFit="1" customWidth="1"/>
    <col min="4118" max="4118" width="12" style="1" bestFit="1" customWidth="1"/>
    <col min="4119" max="4353" width="9.140625" style="1"/>
    <col min="4354" max="4354" width="5.28515625" style="1" customWidth="1"/>
    <col min="4355" max="4356" width="9.5703125" style="1" customWidth="1"/>
    <col min="4357" max="4357" width="7.85546875" style="1" customWidth="1"/>
    <col min="4358" max="4358" width="22.140625" style="1" customWidth="1"/>
    <col min="4359" max="4359" width="8.7109375" style="1" customWidth="1"/>
    <col min="4360" max="4360" width="8.140625" style="1" customWidth="1"/>
    <col min="4361" max="4361" width="13" style="1" customWidth="1"/>
    <col min="4362" max="4362" width="13.5703125" style="1" customWidth="1"/>
    <col min="4363" max="4364" width="13.28515625" style="1" customWidth="1"/>
    <col min="4365" max="4365" width="6.7109375" style="1" customWidth="1"/>
    <col min="4366" max="4366" width="8.140625" style="1" customWidth="1"/>
    <col min="4367" max="4367" width="7.28515625" style="1" customWidth="1"/>
    <col min="4368" max="4368" width="15" style="1" customWidth="1"/>
    <col min="4369" max="4369" width="3.85546875" style="1" customWidth="1"/>
    <col min="4370" max="4370" width="10.85546875" style="1" bestFit="1" customWidth="1"/>
    <col min="4371" max="4371" width="10.5703125" style="1" bestFit="1" customWidth="1"/>
    <col min="4372" max="4372" width="20.85546875" style="1" bestFit="1" customWidth="1"/>
    <col min="4373" max="4373" width="19.85546875" style="1" bestFit="1" customWidth="1"/>
    <col min="4374" max="4374" width="12" style="1" bestFit="1" customWidth="1"/>
    <col min="4375" max="4609" width="9.140625" style="1"/>
    <col min="4610" max="4610" width="5.28515625" style="1" customWidth="1"/>
    <col min="4611" max="4612" width="9.5703125" style="1" customWidth="1"/>
    <col min="4613" max="4613" width="7.85546875" style="1" customWidth="1"/>
    <col min="4614" max="4614" width="22.140625" style="1" customWidth="1"/>
    <col min="4615" max="4615" width="8.7109375" style="1" customWidth="1"/>
    <col min="4616" max="4616" width="8.140625" style="1" customWidth="1"/>
    <col min="4617" max="4617" width="13" style="1" customWidth="1"/>
    <col min="4618" max="4618" width="13.5703125" style="1" customWidth="1"/>
    <col min="4619" max="4620" width="13.28515625" style="1" customWidth="1"/>
    <col min="4621" max="4621" width="6.7109375" style="1" customWidth="1"/>
    <col min="4622" max="4622" width="8.140625" style="1" customWidth="1"/>
    <col min="4623" max="4623" width="7.28515625" style="1" customWidth="1"/>
    <col min="4624" max="4624" width="15" style="1" customWidth="1"/>
    <col min="4625" max="4625" width="3.85546875" style="1" customWidth="1"/>
    <col min="4626" max="4626" width="10.85546875" style="1" bestFit="1" customWidth="1"/>
    <col min="4627" max="4627" width="10.5703125" style="1" bestFit="1" customWidth="1"/>
    <col min="4628" max="4628" width="20.85546875" style="1" bestFit="1" customWidth="1"/>
    <col min="4629" max="4629" width="19.85546875" style="1" bestFit="1" customWidth="1"/>
    <col min="4630" max="4630" width="12" style="1" bestFit="1" customWidth="1"/>
    <col min="4631" max="4865" width="9.140625" style="1"/>
    <col min="4866" max="4866" width="5.28515625" style="1" customWidth="1"/>
    <col min="4867" max="4868" width="9.5703125" style="1" customWidth="1"/>
    <col min="4869" max="4869" width="7.85546875" style="1" customWidth="1"/>
    <col min="4870" max="4870" width="22.140625" style="1" customWidth="1"/>
    <col min="4871" max="4871" width="8.7109375" style="1" customWidth="1"/>
    <col min="4872" max="4872" width="8.140625" style="1" customWidth="1"/>
    <col min="4873" max="4873" width="13" style="1" customWidth="1"/>
    <col min="4874" max="4874" width="13.5703125" style="1" customWidth="1"/>
    <col min="4875" max="4876" width="13.28515625" style="1" customWidth="1"/>
    <col min="4877" max="4877" width="6.7109375" style="1" customWidth="1"/>
    <col min="4878" max="4878" width="8.140625" style="1" customWidth="1"/>
    <col min="4879" max="4879" width="7.28515625" style="1" customWidth="1"/>
    <col min="4880" max="4880" width="15" style="1" customWidth="1"/>
    <col min="4881" max="4881" width="3.85546875" style="1" customWidth="1"/>
    <col min="4882" max="4882" width="10.85546875" style="1" bestFit="1" customWidth="1"/>
    <col min="4883" max="4883" width="10.5703125" style="1" bestFit="1" customWidth="1"/>
    <col min="4884" max="4884" width="20.85546875" style="1" bestFit="1" customWidth="1"/>
    <col min="4885" max="4885" width="19.85546875" style="1" bestFit="1" customWidth="1"/>
    <col min="4886" max="4886" width="12" style="1" bestFit="1" customWidth="1"/>
    <col min="4887" max="5121" width="9.140625" style="1"/>
    <col min="5122" max="5122" width="5.28515625" style="1" customWidth="1"/>
    <col min="5123" max="5124" width="9.5703125" style="1" customWidth="1"/>
    <col min="5125" max="5125" width="7.85546875" style="1" customWidth="1"/>
    <col min="5126" max="5126" width="22.140625" style="1" customWidth="1"/>
    <col min="5127" max="5127" width="8.7109375" style="1" customWidth="1"/>
    <col min="5128" max="5128" width="8.140625" style="1" customWidth="1"/>
    <col min="5129" max="5129" width="13" style="1" customWidth="1"/>
    <col min="5130" max="5130" width="13.5703125" style="1" customWidth="1"/>
    <col min="5131" max="5132" width="13.28515625" style="1" customWidth="1"/>
    <col min="5133" max="5133" width="6.7109375" style="1" customWidth="1"/>
    <col min="5134" max="5134" width="8.140625" style="1" customWidth="1"/>
    <col min="5135" max="5135" width="7.28515625" style="1" customWidth="1"/>
    <col min="5136" max="5136" width="15" style="1" customWidth="1"/>
    <col min="5137" max="5137" width="3.85546875" style="1" customWidth="1"/>
    <col min="5138" max="5138" width="10.85546875" style="1" bestFit="1" customWidth="1"/>
    <col min="5139" max="5139" width="10.5703125" style="1" bestFit="1" customWidth="1"/>
    <col min="5140" max="5140" width="20.85546875" style="1" bestFit="1" customWidth="1"/>
    <col min="5141" max="5141" width="19.85546875" style="1" bestFit="1" customWidth="1"/>
    <col min="5142" max="5142" width="12" style="1" bestFit="1" customWidth="1"/>
    <col min="5143" max="5377" width="9.140625" style="1"/>
    <col min="5378" max="5378" width="5.28515625" style="1" customWidth="1"/>
    <col min="5379" max="5380" width="9.5703125" style="1" customWidth="1"/>
    <col min="5381" max="5381" width="7.85546875" style="1" customWidth="1"/>
    <col min="5382" max="5382" width="22.140625" style="1" customWidth="1"/>
    <col min="5383" max="5383" width="8.7109375" style="1" customWidth="1"/>
    <col min="5384" max="5384" width="8.140625" style="1" customWidth="1"/>
    <col min="5385" max="5385" width="13" style="1" customWidth="1"/>
    <col min="5386" max="5386" width="13.5703125" style="1" customWidth="1"/>
    <col min="5387" max="5388" width="13.28515625" style="1" customWidth="1"/>
    <col min="5389" max="5389" width="6.7109375" style="1" customWidth="1"/>
    <col min="5390" max="5390" width="8.140625" style="1" customWidth="1"/>
    <col min="5391" max="5391" width="7.28515625" style="1" customWidth="1"/>
    <col min="5392" max="5392" width="15" style="1" customWidth="1"/>
    <col min="5393" max="5393" width="3.85546875" style="1" customWidth="1"/>
    <col min="5394" max="5394" width="10.85546875" style="1" bestFit="1" customWidth="1"/>
    <col min="5395" max="5395" width="10.5703125" style="1" bestFit="1" customWidth="1"/>
    <col min="5396" max="5396" width="20.85546875" style="1" bestFit="1" customWidth="1"/>
    <col min="5397" max="5397" width="19.85546875" style="1" bestFit="1" customWidth="1"/>
    <col min="5398" max="5398" width="12" style="1" bestFit="1" customWidth="1"/>
    <col min="5399" max="5633" width="9.140625" style="1"/>
    <col min="5634" max="5634" width="5.28515625" style="1" customWidth="1"/>
    <col min="5635" max="5636" width="9.5703125" style="1" customWidth="1"/>
    <col min="5637" max="5637" width="7.85546875" style="1" customWidth="1"/>
    <col min="5638" max="5638" width="22.140625" style="1" customWidth="1"/>
    <col min="5639" max="5639" width="8.7109375" style="1" customWidth="1"/>
    <col min="5640" max="5640" width="8.140625" style="1" customWidth="1"/>
    <col min="5641" max="5641" width="13" style="1" customWidth="1"/>
    <col min="5642" max="5642" width="13.5703125" style="1" customWidth="1"/>
    <col min="5643" max="5644" width="13.28515625" style="1" customWidth="1"/>
    <col min="5645" max="5645" width="6.7109375" style="1" customWidth="1"/>
    <col min="5646" max="5646" width="8.140625" style="1" customWidth="1"/>
    <col min="5647" max="5647" width="7.28515625" style="1" customWidth="1"/>
    <col min="5648" max="5648" width="15" style="1" customWidth="1"/>
    <col min="5649" max="5649" width="3.85546875" style="1" customWidth="1"/>
    <col min="5650" max="5650" width="10.85546875" style="1" bestFit="1" customWidth="1"/>
    <col min="5651" max="5651" width="10.5703125" style="1" bestFit="1" customWidth="1"/>
    <col min="5652" max="5652" width="20.85546875" style="1" bestFit="1" customWidth="1"/>
    <col min="5653" max="5653" width="19.85546875" style="1" bestFit="1" customWidth="1"/>
    <col min="5654" max="5654" width="12" style="1" bestFit="1" customWidth="1"/>
    <col min="5655" max="5889" width="9.140625" style="1"/>
    <col min="5890" max="5890" width="5.28515625" style="1" customWidth="1"/>
    <col min="5891" max="5892" width="9.5703125" style="1" customWidth="1"/>
    <col min="5893" max="5893" width="7.85546875" style="1" customWidth="1"/>
    <col min="5894" max="5894" width="22.140625" style="1" customWidth="1"/>
    <col min="5895" max="5895" width="8.7109375" style="1" customWidth="1"/>
    <col min="5896" max="5896" width="8.140625" style="1" customWidth="1"/>
    <col min="5897" max="5897" width="13" style="1" customWidth="1"/>
    <col min="5898" max="5898" width="13.5703125" style="1" customWidth="1"/>
    <col min="5899" max="5900" width="13.28515625" style="1" customWidth="1"/>
    <col min="5901" max="5901" width="6.7109375" style="1" customWidth="1"/>
    <col min="5902" max="5902" width="8.140625" style="1" customWidth="1"/>
    <col min="5903" max="5903" width="7.28515625" style="1" customWidth="1"/>
    <col min="5904" max="5904" width="15" style="1" customWidth="1"/>
    <col min="5905" max="5905" width="3.85546875" style="1" customWidth="1"/>
    <col min="5906" max="5906" width="10.85546875" style="1" bestFit="1" customWidth="1"/>
    <col min="5907" max="5907" width="10.5703125" style="1" bestFit="1" customWidth="1"/>
    <col min="5908" max="5908" width="20.85546875" style="1" bestFit="1" customWidth="1"/>
    <col min="5909" max="5909" width="19.85546875" style="1" bestFit="1" customWidth="1"/>
    <col min="5910" max="5910" width="12" style="1" bestFit="1" customWidth="1"/>
    <col min="5911" max="6145" width="9.140625" style="1"/>
    <col min="6146" max="6146" width="5.28515625" style="1" customWidth="1"/>
    <col min="6147" max="6148" width="9.5703125" style="1" customWidth="1"/>
    <col min="6149" max="6149" width="7.85546875" style="1" customWidth="1"/>
    <col min="6150" max="6150" width="22.140625" style="1" customWidth="1"/>
    <col min="6151" max="6151" width="8.7109375" style="1" customWidth="1"/>
    <col min="6152" max="6152" width="8.140625" style="1" customWidth="1"/>
    <col min="6153" max="6153" width="13" style="1" customWidth="1"/>
    <col min="6154" max="6154" width="13.5703125" style="1" customWidth="1"/>
    <col min="6155" max="6156" width="13.28515625" style="1" customWidth="1"/>
    <col min="6157" max="6157" width="6.7109375" style="1" customWidth="1"/>
    <col min="6158" max="6158" width="8.140625" style="1" customWidth="1"/>
    <col min="6159" max="6159" width="7.28515625" style="1" customWidth="1"/>
    <col min="6160" max="6160" width="15" style="1" customWidth="1"/>
    <col min="6161" max="6161" width="3.85546875" style="1" customWidth="1"/>
    <col min="6162" max="6162" width="10.85546875" style="1" bestFit="1" customWidth="1"/>
    <col min="6163" max="6163" width="10.5703125" style="1" bestFit="1" customWidth="1"/>
    <col min="6164" max="6164" width="20.85546875" style="1" bestFit="1" customWidth="1"/>
    <col min="6165" max="6165" width="19.85546875" style="1" bestFit="1" customWidth="1"/>
    <col min="6166" max="6166" width="12" style="1" bestFit="1" customWidth="1"/>
    <col min="6167" max="6401" width="9.140625" style="1"/>
    <col min="6402" max="6402" width="5.28515625" style="1" customWidth="1"/>
    <col min="6403" max="6404" width="9.5703125" style="1" customWidth="1"/>
    <col min="6405" max="6405" width="7.85546875" style="1" customWidth="1"/>
    <col min="6406" max="6406" width="22.140625" style="1" customWidth="1"/>
    <col min="6407" max="6407" width="8.7109375" style="1" customWidth="1"/>
    <col min="6408" max="6408" width="8.140625" style="1" customWidth="1"/>
    <col min="6409" max="6409" width="13" style="1" customWidth="1"/>
    <col min="6410" max="6410" width="13.5703125" style="1" customWidth="1"/>
    <col min="6411" max="6412" width="13.28515625" style="1" customWidth="1"/>
    <col min="6413" max="6413" width="6.7109375" style="1" customWidth="1"/>
    <col min="6414" max="6414" width="8.140625" style="1" customWidth="1"/>
    <col min="6415" max="6415" width="7.28515625" style="1" customWidth="1"/>
    <col min="6416" max="6416" width="15" style="1" customWidth="1"/>
    <col min="6417" max="6417" width="3.85546875" style="1" customWidth="1"/>
    <col min="6418" max="6418" width="10.85546875" style="1" bestFit="1" customWidth="1"/>
    <col min="6419" max="6419" width="10.5703125" style="1" bestFit="1" customWidth="1"/>
    <col min="6420" max="6420" width="20.85546875" style="1" bestFit="1" customWidth="1"/>
    <col min="6421" max="6421" width="19.85546875" style="1" bestFit="1" customWidth="1"/>
    <col min="6422" max="6422" width="12" style="1" bestFit="1" customWidth="1"/>
    <col min="6423" max="6657" width="9.140625" style="1"/>
    <col min="6658" max="6658" width="5.28515625" style="1" customWidth="1"/>
    <col min="6659" max="6660" width="9.5703125" style="1" customWidth="1"/>
    <col min="6661" max="6661" width="7.85546875" style="1" customWidth="1"/>
    <col min="6662" max="6662" width="22.140625" style="1" customWidth="1"/>
    <col min="6663" max="6663" width="8.7109375" style="1" customWidth="1"/>
    <col min="6664" max="6664" width="8.140625" style="1" customWidth="1"/>
    <col min="6665" max="6665" width="13" style="1" customWidth="1"/>
    <col min="6666" max="6666" width="13.5703125" style="1" customWidth="1"/>
    <col min="6667" max="6668" width="13.28515625" style="1" customWidth="1"/>
    <col min="6669" max="6669" width="6.7109375" style="1" customWidth="1"/>
    <col min="6670" max="6670" width="8.140625" style="1" customWidth="1"/>
    <col min="6671" max="6671" width="7.28515625" style="1" customWidth="1"/>
    <col min="6672" max="6672" width="15" style="1" customWidth="1"/>
    <col min="6673" max="6673" width="3.85546875" style="1" customWidth="1"/>
    <col min="6674" max="6674" width="10.85546875" style="1" bestFit="1" customWidth="1"/>
    <col min="6675" max="6675" width="10.5703125" style="1" bestFit="1" customWidth="1"/>
    <col min="6676" max="6676" width="20.85546875" style="1" bestFit="1" customWidth="1"/>
    <col min="6677" max="6677" width="19.85546875" style="1" bestFit="1" customWidth="1"/>
    <col min="6678" max="6678" width="12" style="1" bestFit="1" customWidth="1"/>
    <col min="6679" max="6913" width="9.140625" style="1"/>
    <col min="6914" max="6914" width="5.28515625" style="1" customWidth="1"/>
    <col min="6915" max="6916" width="9.5703125" style="1" customWidth="1"/>
    <col min="6917" max="6917" width="7.85546875" style="1" customWidth="1"/>
    <col min="6918" max="6918" width="22.140625" style="1" customWidth="1"/>
    <col min="6919" max="6919" width="8.7109375" style="1" customWidth="1"/>
    <col min="6920" max="6920" width="8.140625" style="1" customWidth="1"/>
    <col min="6921" max="6921" width="13" style="1" customWidth="1"/>
    <col min="6922" max="6922" width="13.5703125" style="1" customWidth="1"/>
    <col min="6923" max="6924" width="13.28515625" style="1" customWidth="1"/>
    <col min="6925" max="6925" width="6.7109375" style="1" customWidth="1"/>
    <col min="6926" max="6926" width="8.140625" style="1" customWidth="1"/>
    <col min="6927" max="6927" width="7.28515625" style="1" customWidth="1"/>
    <col min="6928" max="6928" width="15" style="1" customWidth="1"/>
    <col min="6929" max="6929" width="3.85546875" style="1" customWidth="1"/>
    <col min="6930" max="6930" width="10.85546875" style="1" bestFit="1" customWidth="1"/>
    <col min="6931" max="6931" width="10.5703125" style="1" bestFit="1" customWidth="1"/>
    <col min="6932" max="6932" width="20.85546875" style="1" bestFit="1" customWidth="1"/>
    <col min="6933" max="6933" width="19.85546875" style="1" bestFit="1" customWidth="1"/>
    <col min="6934" max="6934" width="12" style="1" bestFit="1" customWidth="1"/>
    <col min="6935" max="7169" width="9.140625" style="1"/>
    <col min="7170" max="7170" width="5.28515625" style="1" customWidth="1"/>
    <col min="7171" max="7172" width="9.5703125" style="1" customWidth="1"/>
    <col min="7173" max="7173" width="7.85546875" style="1" customWidth="1"/>
    <col min="7174" max="7174" width="22.140625" style="1" customWidth="1"/>
    <col min="7175" max="7175" width="8.7109375" style="1" customWidth="1"/>
    <col min="7176" max="7176" width="8.140625" style="1" customWidth="1"/>
    <col min="7177" max="7177" width="13" style="1" customWidth="1"/>
    <col min="7178" max="7178" width="13.5703125" style="1" customWidth="1"/>
    <col min="7179" max="7180" width="13.28515625" style="1" customWidth="1"/>
    <col min="7181" max="7181" width="6.7109375" style="1" customWidth="1"/>
    <col min="7182" max="7182" width="8.140625" style="1" customWidth="1"/>
    <col min="7183" max="7183" width="7.28515625" style="1" customWidth="1"/>
    <col min="7184" max="7184" width="15" style="1" customWidth="1"/>
    <col min="7185" max="7185" width="3.85546875" style="1" customWidth="1"/>
    <col min="7186" max="7186" width="10.85546875" style="1" bestFit="1" customWidth="1"/>
    <col min="7187" max="7187" width="10.5703125" style="1" bestFit="1" customWidth="1"/>
    <col min="7188" max="7188" width="20.85546875" style="1" bestFit="1" customWidth="1"/>
    <col min="7189" max="7189" width="19.85546875" style="1" bestFit="1" customWidth="1"/>
    <col min="7190" max="7190" width="12" style="1" bestFit="1" customWidth="1"/>
    <col min="7191" max="7425" width="9.140625" style="1"/>
    <col min="7426" max="7426" width="5.28515625" style="1" customWidth="1"/>
    <col min="7427" max="7428" width="9.5703125" style="1" customWidth="1"/>
    <col min="7429" max="7429" width="7.85546875" style="1" customWidth="1"/>
    <col min="7430" max="7430" width="22.140625" style="1" customWidth="1"/>
    <col min="7431" max="7431" width="8.7109375" style="1" customWidth="1"/>
    <col min="7432" max="7432" width="8.140625" style="1" customWidth="1"/>
    <col min="7433" max="7433" width="13" style="1" customWidth="1"/>
    <col min="7434" max="7434" width="13.5703125" style="1" customWidth="1"/>
    <col min="7435" max="7436" width="13.28515625" style="1" customWidth="1"/>
    <col min="7437" max="7437" width="6.7109375" style="1" customWidth="1"/>
    <col min="7438" max="7438" width="8.140625" style="1" customWidth="1"/>
    <col min="7439" max="7439" width="7.28515625" style="1" customWidth="1"/>
    <col min="7440" max="7440" width="15" style="1" customWidth="1"/>
    <col min="7441" max="7441" width="3.85546875" style="1" customWidth="1"/>
    <col min="7442" max="7442" width="10.85546875" style="1" bestFit="1" customWidth="1"/>
    <col min="7443" max="7443" width="10.5703125" style="1" bestFit="1" customWidth="1"/>
    <col min="7444" max="7444" width="20.85546875" style="1" bestFit="1" customWidth="1"/>
    <col min="7445" max="7445" width="19.85546875" style="1" bestFit="1" customWidth="1"/>
    <col min="7446" max="7446" width="12" style="1" bestFit="1" customWidth="1"/>
    <col min="7447" max="7681" width="9.140625" style="1"/>
    <col min="7682" max="7682" width="5.28515625" style="1" customWidth="1"/>
    <col min="7683" max="7684" width="9.5703125" style="1" customWidth="1"/>
    <col min="7685" max="7685" width="7.85546875" style="1" customWidth="1"/>
    <col min="7686" max="7686" width="22.140625" style="1" customWidth="1"/>
    <col min="7687" max="7687" width="8.7109375" style="1" customWidth="1"/>
    <col min="7688" max="7688" width="8.140625" style="1" customWidth="1"/>
    <col min="7689" max="7689" width="13" style="1" customWidth="1"/>
    <col min="7690" max="7690" width="13.5703125" style="1" customWidth="1"/>
    <col min="7691" max="7692" width="13.28515625" style="1" customWidth="1"/>
    <col min="7693" max="7693" width="6.7109375" style="1" customWidth="1"/>
    <col min="7694" max="7694" width="8.140625" style="1" customWidth="1"/>
    <col min="7695" max="7695" width="7.28515625" style="1" customWidth="1"/>
    <col min="7696" max="7696" width="15" style="1" customWidth="1"/>
    <col min="7697" max="7697" width="3.85546875" style="1" customWidth="1"/>
    <col min="7698" max="7698" width="10.85546875" style="1" bestFit="1" customWidth="1"/>
    <col min="7699" max="7699" width="10.5703125" style="1" bestFit="1" customWidth="1"/>
    <col min="7700" max="7700" width="20.85546875" style="1" bestFit="1" customWidth="1"/>
    <col min="7701" max="7701" width="19.85546875" style="1" bestFit="1" customWidth="1"/>
    <col min="7702" max="7702" width="12" style="1" bestFit="1" customWidth="1"/>
    <col min="7703" max="7937" width="9.140625" style="1"/>
    <col min="7938" max="7938" width="5.28515625" style="1" customWidth="1"/>
    <col min="7939" max="7940" width="9.5703125" style="1" customWidth="1"/>
    <col min="7941" max="7941" width="7.85546875" style="1" customWidth="1"/>
    <col min="7942" max="7942" width="22.140625" style="1" customWidth="1"/>
    <col min="7943" max="7943" width="8.7109375" style="1" customWidth="1"/>
    <col min="7944" max="7944" width="8.140625" style="1" customWidth="1"/>
    <col min="7945" max="7945" width="13" style="1" customWidth="1"/>
    <col min="7946" max="7946" width="13.5703125" style="1" customWidth="1"/>
    <col min="7947" max="7948" width="13.28515625" style="1" customWidth="1"/>
    <col min="7949" max="7949" width="6.7109375" style="1" customWidth="1"/>
    <col min="7950" max="7950" width="8.140625" style="1" customWidth="1"/>
    <col min="7951" max="7951" width="7.28515625" style="1" customWidth="1"/>
    <col min="7952" max="7952" width="15" style="1" customWidth="1"/>
    <col min="7953" max="7953" width="3.85546875" style="1" customWidth="1"/>
    <col min="7954" max="7954" width="10.85546875" style="1" bestFit="1" customWidth="1"/>
    <col min="7955" max="7955" width="10.5703125" style="1" bestFit="1" customWidth="1"/>
    <col min="7956" max="7956" width="20.85546875" style="1" bestFit="1" customWidth="1"/>
    <col min="7957" max="7957" width="19.85546875" style="1" bestFit="1" customWidth="1"/>
    <col min="7958" max="7958" width="12" style="1" bestFit="1" customWidth="1"/>
    <col min="7959" max="8193" width="9.140625" style="1"/>
    <col min="8194" max="8194" width="5.28515625" style="1" customWidth="1"/>
    <col min="8195" max="8196" width="9.5703125" style="1" customWidth="1"/>
    <col min="8197" max="8197" width="7.85546875" style="1" customWidth="1"/>
    <col min="8198" max="8198" width="22.140625" style="1" customWidth="1"/>
    <col min="8199" max="8199" width="8.7109375" style="1" customWidth="1"/>
    <col min="8200" max="8200" width="8.140625" style="1" customWidth="1"/>
    <col min="8201" max="8201" width="13" style="1" customWidth="1"/>
    <col min="8202" max="8202" width="13.5703125" style="1" customWidth="1"/>
    <col min="8203" max="8204" width="13.28515625" style="1" customWidth="1"/>
    <col min="8205" max="8205" width="6.7109375" style="1" customWidth="1"/>
    <col min="8206" max="8206" width="8.140625" style="1" customWidth="1"/>
    <col min="8207" max="8207" width="7.28515625" style="1" customWidth="1"/>
    <col min="8208" max="8208" width="15" style="1" customWidth="1"/>
    <col min="8209" max="8209" width="3.85546875" style="1" customWidth="1"/>
    <col min="8210" max="8210" width="10.85546875" style="1" bestFit="1" customWidth="1"/>
    <col min="8211" max="8211" width="10.5703125" style="1" bestFit="1" customWidth="1"/>
    <col min="8212" max="8212" width="20.85546875" style="1" bestFit="1" customWidth="1"/>
    <col min="8213" max="8213" width="19.85546875" style="1" bestFit="1" customWidth="1"/>
    <col min="8214" max="8214" width="12" style="1" bestFit="1" customWidth="1"/>
    <col min="8215" max="8449" width="9.140625" style="1"/>
    <col min="8450" max="8450" width="5.28515625" style="1" customWidth="1"/>
    <col min="8451" max="8452" width="9.5703125" style="1" customWidth="1"/>
    <col min="8453" max="8453" width="7.85546875" style="1" customWidth="1"/>
    <col min="8454" max="8454" width="22.140625" style="1" customWidth="1"/>
    <col min="8455" max="8455" width="8.7109375" style="1" customWidth="1"/>
    <col min="8456" max="8456" width="8.140625" style="1" customWidth="1"/>
    <col min="8457" max="8457" width="13" style="1" customWidth="1"/>
    <col min="8458" max="8458" width="13.5703125" style="1" customWidth="1"/>
    <col min="8459" max="8460" width="13.28515625" style="1" customWidth="1"/>
    <col min="8461" max="8461" width="6.7109375" style="1" customWidth="1"/>
    <col min="8462" max="8462" width="8.140625" style="1" customWidth="1"/>
    <col min="8463" max="8463" width="7.28515625" style="1" customWidth="1"/>
    <col min="8464" max="8464" width="15" style="1" customWidth="1"/>
    <col min="8465" max="8465" width="3.85546875" style="1" customWidth="1"/>
    <col min="8466" max="8466" width="10.85546875" style="1" bestFit="1" customWidth="1"/>
    <col min="8467" max="8467" width="10.5703125" style="1" bestFit="1" customWidth="1"/>
    <col min="8468" max="8468" width="20.85546875" style="1" bestFit="1" customWidth="1"/>
    <col min="8469" max="8469" width="19.85546875" style="1" bestFit="1" customWidth="1"/>
    <col min="8470" max="8470" width="12" style="1" bestFit="1" customWidth="1"/>
    <col min="8471" max="8705" width="9.140625" style="1"/>
    <col min="8706" max="8706" width="5.28515625" style="1" customWidth="1"/>
    <col min="8707" max="8708" width="9.5703125" style="1" customWidth="1"/>
    <col min="8709" max="8709" width="7.85546875" style="1" customWidth="1"/>
    <col min="8710" max="8710" width="22.140625" style="1" customWidth="1"/>
    <col min="8711" max="8711" width="8.7109375" style="1" customWidth="1"/>
    <col min="8712" max="8712" width="8.140625" style="1" customWidth="1"/>
    <col min="8713" max="8713" width="13" style="1" customWidth="1"/>
    <col min="8714" max="8714" width="13.5703125" style="1" customWidth="1"/>
    <col min="8715" max="8716" width="13.28515625" style="1" customWidth="1"/>
    <col min="8717" max="8717" width="6.7109375" style="1" customWidth="1"/>
    <col min="8718" max="8718" width="8.140625" style="1" customWidth="1"/>
    <col min="8719" max="8719" width="7.28515625" style="1" customWidth="1"/>
    <col min="8720" max="8720" width="15" style="1" customWidth="1"/>
    <col min="8721" max="8721" width="3.85546875" style="1" customWidth="1"/>
    <col min="8722" max="8722" width="10.85546875" style="1" bestFit="1" customWidth="1"/>
    <col min="8723" max="8723" width="10.5703125" style="1" bestFit="1" customWidth="1"/>
    <col min="8724" max="8724" width="20.85546875" style="1" bestFit="1" customWidth="1"/>
    <col min="8725" max="8725" width="19.85546875" style="1" bestFit="1" customWidth="1"/>
    <col min="8726" max="8726" width="12" style="1" bestFit="1" customWidth="1"/>
    <col min="8727" max="8961" width="9.140625" style="1"/>
    <col min="8962" max="8962" width="5.28515625" style="1" customWidth="1"/>
    <col min="8963" max="8964" width="9.5703125" style="1" customWidth="1"/>
    <col min="8965" max="8965" width="7.85546875" style="1" customWidth="1"/>
    <col min="8966" max="8966" width="22.140625" style="1" customWidth="1"/>
    <col min="8967" max="8967" width="8.7109375" style="1" customWidth="1"/>
    <col min="8968" max="8968" width="8.140625" style="1" customWidth="1"/>
    <col min="8969" max="8969" width="13" style="1" customWidth="1"/>
    <col min="8970" max="8970" width="13.5703125" style="1" customWidth="1"/>
    <col min="8971" max="8972" width="13.28515625" style="1" customWidth="1"/>
    <col min="8973" max="8973" width="6.7109375" style="1" customWidth="1"/>
    <col min="8974" max="8974" width="8.140625" style="1" customWidth="1"/>
    <col min="8975" max="8975" width="7.28515625" style="1" customWidth="1"/>
    <col min="8976" max="8976" width="15" style="1" customWidth="1"/>
    <col min="8977" max="8977" width="3.85546875" style="1" customWidth="1"/>
    <col min="8978" max="8978" width="10.85546875" style="1" bestFit="1" customWidth="1"/>
    <col min="8979" max="8979" width="10.5703125" style="1" bestFit="1" customWidth="1"/>
    <col min="8980" max="8980" width="20.85546875" style="1" bestFit="1" customWidth="1"/>
    <col min="8981" max="8981" width="19.85546875" style="1" bestFit="1" customWidth="1"/>
    <col min="8982" max="8982" width="12" style="1" bestFit="1" customWidth="1"/>
    <col min="8983" max="9217" width="9.140625" style="1"/>
    <col min="9218" max="9218" width="5.28515625" style="1" customWidth="1"/>
    <col min="9219" max="9220" width="9.5703125" style="1" customWidth="1"/>
    <col min="9221" max="9221" width="7.85546875" style="1" customWidth="1"/>
    <col min="9222" max="9222" width="22.140625" style="1" customWidth="1"/>
    <col min="9223" max="9223" width="8.7109375" style="1" customWidth="1"/>
    <col min="9224" max="9224" width="8.140625" style="1" customWidth="1"/>
    <col min="9225" max="9225" width="13" style="1" customWidth="1"/>
    <col min="9226" max="9226" width="13.5703125" style="1" customWidth="1"/>
    <col min="9227" max="9228" width="13.28515625" style="1" customWidth="1"/>
    <col min="9229" max="9229" width="6.7109375" style="1" customWidth="1"/>
    <col min="9230" max="9230" width="8.140625" style="1" customWidth="1"/>
    <col min="9231" max="9231" width="7.28515625" style="1" customWidth="1"/>
    <col min="9232" max="9232" width="15" style="1" customWidth="1"/>
    <col min="9233" max="9233" width="3.85546875" style="1" customWidth="1"/>
    <col min="9234" max="9234" width="10.85546875" style="1" bestFit="1" customWidth="1"/>
    <col min="9235" max="9235" width="10.5703125" style="1" bestFit="1" customWidth="1"/>
    <col min="9236" max="9236" width="20.85546875" style="1" bestFit="1" customWidth="1"/>
    <col min="9237" max="9237" width="19.85546875" style="1" bestFit="1" customWidth="1"/>
    <col min="9238" max="9238" width="12" style="1" bestFit="1" customWidth="1"/>
    <col min="9239" max="9473" width="9.140625" style="1"/>
    <col min="9474" max="9474" width="5.28515625" style="1" customWidth="1"/>
    <col min="9475" max="9476" width="9.5703125" style="1" customWidth="1"/>
    <col min="9477" max="9477" width="7.85546875" style="1" customWidth="1"/>
    <col min="9478" max="9478" width="22.140625" style="1" customWidth="1"/>
    <col min="9479" max="9479" width="8.7109375" style="1" customWidth="1"/>
    <col min="9480" max="9480" width="8.140625" style="1" customWidth="1"/>
    <col min="9481" max="9481" width="13" style="1" customWidth="1"/>
    <col min="9482" max="9482" width="13.5703125" style="1" customWidth="1"/>
    <col min="9483" max="9484" width="13.28515625" style="1" customWidth="1"/>
    <col min="9485" max="9485" width="6.7109375" style="1" customWidth="1"/>
    <col min="9486" max="9486" width="8.140625" style="1" customWidth="1"/>
    <col min="9487" max="9487" width="7.28515625" style="1" customWidth="1"/>
    <col min="9488" max="9488" width="15" style="1" customWidth="1"/>
    <col min="9489" max="9489" width="3.85546875" style="1" customWidth="1"/>
    <col min="9490" max="9490" width="10.85546875" style="1" bestFit="1" customWidth="1"/>
    <col min="9491" max="9491" width="10.5703125" style="1" bestFit="1" customWidth="1"/>
    <col min="9492" max="9492" width="20.85546875" style="1" bestFit="1" customWidth="1"/>
    <col min="9493" max="9493" width="19.85546875" style="1" bestFit="1" customWidth="1"/>
    <col min="9494" max="9494" width="12" style="1" bestFit="1" customWidth="1"/>
    <col min="9495" max="9729" width="9.140625" style="1"/>
    <col min="9730" max="9730" width="5.28515625" style="1" customWidth="1"/>
    <col min="9731" max="9732" width="9.5703125" style="1" customWidth="1"/>
    <col min="9733" max="9733" width="7.85546875" style="1" customWidth="1"/>
    <col min="9734" max="9734" width="22.140625" style="1" customWidth="1"/>
    <col min="9735" max="9735" width="8.7109375" style="1" customWidth="1"/>
    <col min="9736" max="9736" width="8.140625" style="1" customWidth="1"/>
    <col min="9737" max="9737" width="13" style="1" customWidth="1"/>
    <col min="9738" max="9738" width="13.5703125" style="1" customWidth="1"/>
    <col min="9739" max="9740" width="13.28515625" style="1" customWidth="1"/>
    <col min="9741" max="9741" width="6.7109375" style="1" customWidth="1"/>
    <col min="9742" max="9742" width="8.140625" style="1" customWidth="1"/>
    <col min="9743" max="9743" width="7.28515625" style="1" customWidth="1"/>
    <col min="9744" max="9744" width="15" style="1" customWidth="1"/>
    <col min="9745" max="9745" width="3.85546875" style="1" customWidth="1"/>
    <col min="9746" max="9746" width="10.85546875" style="1" bestFit="1" customWidth="1"/>
    <col min="9747" max="9747" width="10.5703125" style="1" bestFit="1" customWidth="1"/>
    <col min="9748" max="9748" width="20.85546875" style="1" bestFit="1" customWidth="1"/>
    <col min="9749" max="9749" width="19.85546875" style="1" bestFit="1" customWidth="1"/>
    <col min="9750" max="9750" width="12" style="1" bestFit="1" customWidth="1"/>
    <col min="9751" max="9985" width="9.140625" style="1"/>
    <col min="9986" max="9986" width="5.28515625" style="1" customWidth="1"/>
    <col min="9987" max="9988" width="9.5703125" style="1" customWidth="1"/>
    <col min="9989" max="9989" width="7.85546875" style="1" customWidth="1"/>
    <col min="9990" max="9990" width="22.140625" style="1" customWidth="1"/>
    <col min="9991" max="9991" width="8.7109375" style="1" customWidth="1"/>
    <col min="9992" max="9992" width="8.140625" style="1" customWidth="1"/>
    <col min="9993" max="9993" width="13" style="1" customWidth="1"/>
    <col min="9994" max="9994" width="13.5703125" style="1" customWidth="1"/>
    <col min="9995" max="9996" width="13.28515625" style="1" customWidth="1"/>
    <col min="9997" max="9997" width="6.7109375" style="1" customWidth="1"/>
    <col min="9998" max="9998" width="8.140625" style="1" customWidth="1"/>
    <col min="9999" max="9999" width="7.28515625" style="1" customWidth="1"/>
    <col min="10000" max="10000" width="15" style="1" customWidth="1"/>
    <col min="10001" max="10001" width="3.85546875" style="1" customWidth="1"/>
    <col min="10002" max="10002" width="10.85546875" style="1" bestFit="1" customWidth="1"/>
    <col min="10003" max="10003" width="10.5703125" style="1" bestFit="1" customWidth="1"/>
    <col min="10004" max="10004" width="20.85546875" style="1" bestFit="1" customWidth="1"/>
    <col min="10005" max="10005" width="19.85546875" style="1" bestFit="1" customWidth="1"/>
    <col min="10006" max="10006" width="12" style="1" bestFit="1" customWidth="1"/>
    <col min="10007" max="10241" width="9.140625" style="1"/>
    <col min="10242" max="10242" width="5.28515625" style="1" customWidth="1"/>
    <col min="10243" max="10244" width="9.5703125" style="1" customWidth="1"/>
    <col min="10245" max="10245" width="7.85546875" style="1" customWidth="1"/>
    <col min="10246" max="10246" width="22.140625" style="1" customWidth="1"/>
    <col min="10247" max="10247" width="8.7109375" style="1" customWidth="1"/>
    <col min="10248" max="10248" width="8.140625" style="1" customWidth="1"/>
    <col min="10249" max="10249" width="13" style="1" customWidth="1"/>
    <col min="10250" max="10250" width="13.5703125" style="1" customWidth="1"/>
    <col min="10251" max="10252" width="13.28515625" style="1" customWidth="1"/>
    <col min="10253" max="10253" width="6.7109375" style="1" customWidth="1"/>
    <col min="10254" max="10254" width="8.140625" style="1" customWidth="1"/>
    <col min="10255" max="10255" width="7.28515625" style="1" customWidth="1"/>
    <col min="10256" max="10256" width="15" style="1" customWidth="1"/>
    <col min="10257" max="10257" width="3.85546875" style="1" customWidth="1"/>
    <col min="10258" max="10258" width="10.85546875" style="1" bestFit="1" customWidth="1"/>
    <col min="10259" max="10259" width="10.5703125" style="1" bestFit="1" customWidth="1"/>
    <col min="10260" max="10260" width="20.85546875" style="1" bestFit="1" customWidth="1"/>
    <col min="10261" max="10261" width="19.85546875" style="1" bestFit="1" customWidth="1"/>
    <col min="10262" max="10262" width="12" style="1" bestFit="1" customWidth="1"/>
    <col min="10263" max="10497" width="9.140625" style="1"/>
    <col min="10498" max="10498" width="5.28515625" style="1" customWidth="1"/>
    <col min="10499" max="10500" width="9.5703125" style="1" customWidth="1"/>
    <col min="10501" max="10501" width="7.85546875" style="1" customWidth="1"/>
    <col min="10502" max="10502" width="22.140625" style="1" customWidth="1"/>
    <col min="10503" max="10503" width="8.7109375" style="1" customWidth="1"/>
    <col min="10504" max="10504" width="8.140625" style="1" customWidth="1"/>
    <col min="10505" max="10505" width="13" style="1" customWidth="1"/>
    <col min="10506" max="10506" width="13.5703125" style="1" customWidth="1"/>
    <col min="10507" max="10508" width="13.28515625" style="1" customWidth="1"/>
    <col min="10509" max="10509" width="6.7109375" style="1" customWidth="1"/>
    <col min="10510" max="10510" width="8.140625" style="1" customWidth="1"/>
    <col min="10511" max="10511" width="7.28515625" style="1" customWidth="1"/>
    <col min="10512" max="10512" width="15" style="1" customWidth="1"/>
    <col min="10513" max="10513" width="3.85546875" style="1" customWidth="1"/>
    <col min="10514" max="10514" width="10.85546875" style="1" bestFit="1" customWidth="1"/>
    <col min="10515" max="10515" width="10.5703125" style="1" bestFit="1" customWidth="1"/>
    <col min="10516" max="10516" width="20.85546875" style="1" bestFit="1" customWidth="1"/>
    <col min="10517" max="10517" width="19.85546875" style="1" bestFit="1" customWidth="1"/>
    <col min="10518" max="10518" width="12" style="1" bestFit="1" customWidth="1"/>
    <col min="10519" max="10753" width="9.140625" style="1"/>
    <col min="10754" max="10754" width="5.28515625" style="1" customWidth="1"/>
    <col min="10755" max="10756" width="9.5703125" style="1" customWidth="1"/>
    <col min="10757" max="10757" width="7.85546875" style="1" customWidth="1"/>
    <col min="10758" max="10758" width="22.140625" style="1" customWidth="1"/>
    <col min="10759" max="10759" width="8.7109375" style="1" customWidth="1"/>
    <col min="10760" max="10760" width="8.140625" style="1" customWidth="1"/>
    <col min="10761" max="10761" width="13" style="1" customWidth="1"/>
    <col min="10762" max="10762" width="13.5703125" style="1" customWidth="1"/>
    <col min="10763" max="10764" width="13.28515625" style="1" customWidth="1"/>
    <col min="10765" max="10765" width="6.7109375" style="1" customWidth="1"/>
    <col min="10766" max="10766" width="8.140625" style="1" customWidth="1"/>
    <col min="10767" max="10767" width="7.28515625" style="1" customWidth="1"/>
    <col min="10768" max="10768" width="15" style="1" customWidth="1"/>
    <col min="10769" max="10769" width="3.85546875" style="1" customWidth="1"/>
    <col min="10770" max="10770" width="10.85546875" style="1" bestFit="1" customWidth="1"/>
    <col min="10771" max="10771" width="10.5703125" style="1" bestFit="1" customWidth="1"/>
    <col min="10772" max="10772" width="20.85546875" style="1" bestFit="1" customWidth="1"/>
    <col min="10773" max="10773" width="19.85546875" style="1" bestFit="1" customWidth="1"/>
    <col min="10774" max="10774" width="12" style="1" bestFit="1" customWidth="1"/>
    <col min="10775" max="11009" width="9.140625" style="1"/>
    <col min="11010" max="11010" width="5.28515625" style="1" customWidth="1"/>
    <col min="11011" max="11012" width="9.5703125" style="1" customWidth="1"/>
    <col min="11013" max="11013" width="7.85546875" style="1" customWidth="1"/>
    <col min="11014" max="11014" width="22.140625" style="1" customWidth="1"/>
    <col min="11015" max="11015" width="8.7109375" style="1" customWidth="1"/>
    <col min="11016" max="11016" width="8.140625" style="1" customWidth="1"/>
    <col min="11017" max="11017" width="13" style="1" customWidth="1"/>
    <col min="11018" max="11018" width="13.5703125" style="1" customWidth="1"/>
    <col min="11019" max="11020" width="13.28515625" style="1" customWidth="1"/>
    <col min="11021" max="11021" width="6.7109375" style="1" customWidth="1"/>
    <col min="11022" max="11022" width="8.140625" style="1" customWidth="1"/>
    <col min="11023" max="11023" width="7.28515625" style="1" customWidth="1"/>
    <col min="11024" max="11024" width="15" style="1" customWidth="1"/>
    <col min="11025" max="11025" width="3.85546875" style="1" customWidth="1"/>
    <col min="11026" max="11026" width="10.85546875" style="1" bestFit="1" customWidth="1"/>
    <col min="11027" max="11027" width="10.5703125" style="1" bestFit="1" customWidth="1"/>
    <col min="11028" max="11028" width="20.85546875" style="1" bestFit="1" customWidth="1"/>
    <col min="11029" max="11029" width="19.85546875" style="1" bestFit="1" customWidth="1"/>
    <col min="11030" max="11030" width="12" style="1" bestFit="1" customWidth="1"/>
    <col min="11031" max="11265" width="9.140625" style="1"/>
    <col min="11266" max="11266" width="5.28515625" style="1" customWidth="1"/>
    <col min="11267" max="11268" width="9.5703125" style="1" customWidth="1"/>
    <col min="11269" max="11269" width="7.85546875" style="1" customWidth="1"/>
    <col min="11270" max="11270" width="22.140625" style="1" customWidth="1"/>
    <col min="11271" max="11271" width="8.7109375" style="1" customWidth="1"/>
    <col min="11272" max="11272" width="8.140625" style="1" customWidth="1"/>
    <col min="11273" max="11273" width="13" style="1" customWidth="1"/>
    <col min="11274" max="11274" width="13.5703125" style="1" customWidth="1"/>
    <col min="11275" max="11276" width="13.28515625" style="1" customWidth="1"/>
    <col min="11277" max="11277" width="6.7109375" style="1" customWidth="1"/>
    <col min="11278" max="11278" width="8.140625" style="1" customWidth="1"/>
    <col min="11279" max="11279" width="7.28515625" style="1" customWidth="1"/>
    <col min="11280" max="11280" width="15" style="1" customWidth="1"/>
    <col min="11281" max="11281" width="3.85546875" style="1" customWidth="1"/>
    <col min="11282" max="11282" width="10.85546875" style="1" bestFit="1" customWidth="1"/>
    <col min="11283" max="11283" width="10.5703125" style="1" bestFit="1" customWidth="1"/>
    <col min="11284" max="11284" width="20.85546875" style="1" bestFit="1" customWidth="1"/>
    <col min="11285" max="11285" width="19.85546875" style="1" bestFit="1" customWidth="1"/>
    <col min="11286" max="11286" width="12" style="1" bestFit="1" customWidth="1"/>
    <col min="11287" max="11521" width="9.140625" style="1"/>
    <col min="11522" max="11522" width="5.28515625" style="1" customWidth="1"/>
    <col min="11523" max="11524" width="9.5703125" style="1" customWidth="1"/>
    <col min="11525" max="11525" width="7.85546875" style="1" customWidth="1"/>
    <col min="11526" max="11526" width="22.140625" style="1" customWidth="1"/>
    <col min="11527" max="11527" width="8.7109375" style="1" customWidth="1"/>
    <col min="11528" max="11528" width="8.140625" style="1" customWidth="1"/>
    <col min="11529" max="11529" width="13" style="1" customWidth="1"/>
    <col min="11530" max="11530" width="13.5703125" style="1" customWidth="1"/>
    <col min="11531" max="11532" width="13.28515625" style="1" customWidth="1"/>
    <col min="11533" max="11533" width="6.7109375" style="1" customWidth="1"/>
    <col min="11534" max="11534" width="8.140625" style="1" customWidth="1"/>
    <col min="11535" max="11535" width="7.28515625" style="1" customWidth="1"/>
    <col min="11536" max="11536" width="15" style="1" customWidth="1"/>
    <col min="11537" max="11537" width="3.85546875" style="1" customWidth="1"/>
    <col min="11538" max="11538" width="10.85546875" style="1" bestFit="1" customWidth="1"/>
    <col min="11539" max="11539" width="10.5703125" style="1" bestFit="1" customWidth="1"/>
    <col min="11540" max="11540" width="20.85546875" style="1" bestFit="1" customWidth="1"/>
    <col min="11541" max="11541" width="19.85546875" style="1" bestFit="1" customWidth="1"/>
    <col min="11542" max="11542" width="12" style="1" bestFit="1" customWidth="1"/>
    <col min="11543" max="11777" width="9.140625" style="1"/>
    <col min="11778" max="11778" width="5.28515625" style="1" customWidth="1"/>
    <col min="11779" max="11780" width="9.5703125" style="1" customWidth="1"/>
    <col min="11781" max="11781" width="7.85546875" style="1" customWidth="1"/>
    <col min="11782" max="11782" width="22.140625" style="1" customWidth="1"/>
    <col min="11783" max="11783" width="8.7109375" style="1" customWidth="1"/>
    <col min="11784" max="11784" width="8.140625" style="1" customWidth="1"/>
    <col min="11785" max="11785" width="13" style="1" customWidth="1"/>
    <col min="11786" max="11786" width="13.5703125" style="1" customWidth="1"/>
    <col min="11787" max="11788" width="13.28515625" style="1" customWidth="1"/>
    <col min="11789" max="11789" width="6.7109375" style="1" customWidth="1"/>
    <col min="11790" max="11790" width="8.140625" style="1" customWidth="1"/>
    <col min="11791" max="11791" width="7.28515625" style="1" customWidth="1"/>
    <col min="11792" max="11792" width="15" style="1" customWidth="1"/>
    <col min="11793" max="11793" width="3.85546875" style="1" customWidth="1"/>
    <col min="11794" max="11794" width="10.85546875" style="1" bestFit="1" customWidth="1"/>
    <col min="11795" max="11795" width="10.5703125" style="1" bestFit="1" customWidth="1"/>
    <col min="11796" max="11796" width="20.85546875" style="1" bestFit="1" customWidth="1"/>
    <col min="11797" max="11797" width="19.85546875" style="1" bestFit="1" customWidth="1"/>
    <col min="11798" max="11798" width="12" style="1" bestFit="1" customWidth="1"/>
    <col min="11799" max="12033" width="9.140625" style="1"/>
    <col min="12034" max="12034" width="5.28515625" style="1" customWidth="1"/>
    <col min="12035" max="12036" width="9.5703125" style="1" customWidth="1"/>
    <col min="12037" max="12037" width="7.85546875" style="1" customWidth="1"/>
    <col min="12038" max="12038" width="22.140625" style="1" customWidth="1"/>
    <col min="12039" max="12039" width="8.7109375" style="1" customWidth="1"/>
    <col min="12040" max="12040" width="8.140625" style="1" customWidth="1"/>
    <col min="12041" max="12041" width="13" style="1" customWidth="1"/>
    <col min="12042" max="12042" width="13.5703125" style="1" customWidth="1"/>
    <col min="12043" max="12044" width="13.28515625" style="1" customWidth="1"/>
    <col min="12045" max="12045" width="6.7109375" style="1" customWidth="1"/>
    <col min="12046" max="12046" width="8.140625" style="1" customWidth="1"/>
    <col min="12047" max="12047" width="7.28515625" style="1" customWidth="1"/>
    <col min="12048" max="12048" width="15" style="1" customWidth="1"/>
    <col min="12049" max="12049" width="3.85546875" style="1" customWidth="1"/>
    <col min="12050" max="12050" width="10.85546875" style="1" bestFit="1" customWidth="1"/>
    <col min="12051" max="12051" width="10.5703125" style="1" bestFit="1" customWidth="1"/>
    <col min="12052" max="12052" width="20.85546875" style="1" bestFit="1" customWidth="1"/>
    <col min="12053" max="12053" width="19.85546875" style="1" bestFit="1" customWidth="1"/>
    <col min="12054" max="12054" width="12" style="1" bestFit="1" customWidth="1"/>
    <col min="12055" max="12289" width="9.140625" style="1"/>
    <col min="12290" max="12290" width="5.28515625" style="1" customWidth="1"/>
    <col min="12291" max="12292" width="9.5703125" style="1" customWidth="1"/>
    <col min="12293" max="12293" width="7.85546875" style="1" customWidth="1"/>
    <col min="12294" max="12294" width="22.140625" style="1" customWidth="1"/>
    <col min="12295" max="12295" width="8.7109375" style="1" customWidth="1"/>
    <col min="12296" max="12296" width="8.140625" style="1" customWidth="1"/>
    <col min="12297" max="12297" width="13" style="1" customWidth="1"/>
    <col min="12298" max="12298" width="13.5703125" style="1" customWidth="1"/>
    <col min="12299" max="12300" width="13.28515625" style="1" customWidth="1"/>
    <col min="12301" max="12301" width="6.7109375" style="1" customWidth="1"/>
    <col min="12302" max="12302" width="8.140625" style="1" customWidth="1"/>
    <col min="12303" max="12303" width="7.28515625" style="1" customWidth="1"/>
    <col min="12304" max="12304" width="15" style="1" customWidth="1"/>
    <col min="12305" max="12305" width="3.85546875" style="1" customWidth="1"/>
    <col min="12306" max="12306" width="10.85546875" style="1" bestFit="1" customWidth="1"/>
    <col min="12307" max="12307" width="10.5703125" style="1" bestFit="1" customWidth="1"/>
    <col min="12308" max="12308" width="20.85546875" style="1" bestFit="1" customWidth="1"/>
    <col min="12309" max="12309" width="19.85546875" style="1" bestFit="1" customWidth="1"/>
    <col min="12310" max="12310" width="12" style="1" bestFit="1" customWidth="1"/>
    <col min="12311" max="12545" width="9.140625" style="1"/>
    <col min="12546" max="12546" width="5.28515625" style="1" customWidth="1"/>
    <col min="12547" max="12548" width="9.5703125" style="1" customWidth="1"/>
    <col min="12549" max="12549" width="7.85546875" style="1" customWidth="1"/>
    <col min="12550" max="12550" width="22.140625" style="1" customWidth="1"/>
    <col min="12551" max="12551" width="8.7109375" style="1" customWidth="1"/>
    <col min="12552" max="12552" width="8.140625" style="1" customWidth="1"/>
    <col min="12553" max="12553" width="13" style="1" customWidth="1"/>
    <col min="12554" max="12554" width="13.5703125" style="1" customWidth="1"/>
    <col min="12555" max="12556" width="13.28515625" style="1" customWidth="1"/>
    <col min="12557" max="12557" width="6.7109375" style="1" customWidth="1"/>
    <col min="12558" max="12558" width="8.140625" style="1" customWidth="1"/>
    <col min="12559" max="12559" width="7.28515625" style="1" customWidth="1"/>
    <col min="12560" max="12560" width="15" style="1" customWidth="1"/>
    <col min="12561" max="12561" width="3.85546875" style="1" customWidth="1"/>
    <col min="12562" max="12562" width="10.85546875" style="1" bestFit="1" customWidth="1"/>
    <col min="12563" max="12563" width="10.5703125" style="1" bestFit="1" customWidth="1"/>
    <col min="12564" max="12564" width="20.85546875" style="1" bestFit="1" customWidth="1"/>
    <col min="12565" max="12565" width="19.85546875" style="1" bestFit="1" customWidth="1"/>
    <col min="12566" max="12566" width="12" style="1" bestFit="1" customWidth="1"/>
    <col min="12567" max="12801" width="9.140625" style="1"/>
    <col min="12802" max="12802" width="5.28515625" style="1" customWidth="1"/>
    <col min="12803" max="12804" width="9.5703125" style="1" customWidth="1"/>
    <col min="12805" max="12805" width="7.85546875" style="1" customWidth="1"/>
    <col min="12806" max="12806" width="22.140625" style="1" customWidth="1"/>
    <col min="12807" max="12807" width="8.7109375" style="1" customWidth="1"/>
    <col min="12808" max="12808" width="8.140625" style="1" customWidth="1"/>
    <col min="12809" max="12809" width="13" style="1" customWidth="1"/>
    <col min="12810" max="12810" width="13.5703125" style="1" customWidth="1"/>
    <col min="12811" max="12812" width="13.28515625" style="1" customWidth="1"/>
    <col min="12813" max="12813" width="6.7109375" style="1" customWidth="1"/>
    <col min="12814" max="12814" width="8.140625" style="1" customWidth="1"/>
    <col min="12815" max="12815" width="7.28515625" style="1" customWidth="1"/>
    <col min="12816" max="12816" width="15" style="1" customWidth="1"/>
    <col min="12817" max="12817" width="3.85546875" style="1" customWidth="1"/>
    <col min="12818" max="12818" width="10.85546875" style="1" bestFit="1" customWidth="1"/>
    <col min="12819" max="12819" width="10.5703125" style="1" bestFit="1" customWidth="1"/>
    <col min="12820" max="12820" width="20.85546875" style="1" bestFit="1" customWidth="1"/>
    <col min="12821" max="12821" width="19.85546875" style="1" bestFit="1" customWidth="1"/>
    <col min="12822" max="12822" width="12" style="1" bestFit="1" customWidth="1"/>
    <col min="12823" max="13057" width="9.140625" style="1"/>
    <col min="13058" max="13058" width="5.28515625" style="1" customWidth="1"/>
    <col min="13059" max="13060" width="9.5703125" style="1" customWidth="1"/>
    <col min="13061" max="13061" width="7.85546875" style="1" customWidth="1"/>
    <col min="13062" max="13062" width="22.140625" style="1" customWidth="1"/>
    <col min="13063" max="13063" width="8.7109375" style="1" customWidth="1"/>
    <col min="13064" max="13064" width="8.140625" style="1" customWidth="1"/>
    <col min="13065" max="13065" width="13" style="1" customWidth="1"/>
    <col min="13066" max="13066" width="13.5703125" style="1" customWidth="1"/>
    <col min="13067" max="13068" width="13.28515625" style="1" customWidth="1"/>
    <col min="13069" max="13069" width="6.7109375" style="1" customWidth="1"/>
    <col min="13070" max="13070" width="8.140625" style="1" customWidth="1"/>
    <col min="13071" max="13071" width="7.28515625" style="1" customWidth="1"/>
    <col min="13072" max="13072" width="15" style="1" customWidth="1"/>
    <col min="13073" max="13073" width="3.85546875" style="1" customWidth="1"/>
    <col min="13074" max="13074" width="10.85546875" style="1" bestFit="1" customWidth="1"/>
    <col min="13075" max="13075" width="10.5703125" style="1" bestFit="1" customWidth="1"/>
    <col min="13076" max="13076" width="20.85546875" style="1" bestFit="1" customWidth="1"/>
    <col min="13077" max="13077" width="19.85546875" style="1" bestFit="1" customWidth="1"/>
    <col min="13078" max="13078" width="12" style="1" bestFit="1" customWidth="1"/>
    <col min="13079" max="13313" width="9.140625" style="1"/>
    <col min="13314" max="13314" width="5.28515625" style="1" customWidth="1"/>
    <col min="13315" max="13316" width="9.5703125" style="1" customWidth="1"/>
    <col min="13317" max="13317" width="7.85546875" style="1" customWidth="1"/>
    <col min="13318" max="13318" width="22.140625" style="1" customWidth="1"/>
    <col min="13319" max="13319" width="8.7109375" style="1" customWidth="1"/>
    <col min="13320" max="13320" width="8.140625" style="1" customWidth="1"/>
    <col min="13321" max="13321" width="13" style="1" customWidth="1"/>
    <col min="13322" max="13322" width="13.5703125" style="1" customWidth="1"/>
    <col min="13323" max="13324" width="13.28515625" style="1" customWidth="1"/>
    <col min="13325" max="13325" width="6.7109375" style="1" customWidth="1"/>
    <col min="13326" max="13326" width="8.140625" style="1" customWidth="1"/>
    <col min="13327" max="13327" width="7.28515625" style="1" customWidth="1"/>
    <col min="13328" max="13328" width="15" style="1" customWidth="1"/>
    <col min="13329" max="13329" width="3.85546875" style="1" customWidth="1"/>
    <col min="13330" max="13330" width="10.85546875" style="1" bestFit="1" customWidth="1"/>
    <col min="13331" max="13331" width="10.5703125" style="1" bestFit="1" customWidth="1"/>
    <col min="13332" max="13332" width="20.85546875" style="1" bestFit="1" customWidth="1"/>
    <col min="13333" max="13333" width="19.85546875" style="1" bestFit="1" customWidth="1"/>
    <col min="13334" max="13334" width="12" style="1" bestFit="1" customWidth="1"/>
    <col min="13335" max="13569" width="9.140625" style="1"/>
    <col min="13570" max="13570" width="5.28515625" style="1" customWidth="1"/>
    <col min="13571" max="13572" width="9.5703125" style="1" customWidth="1"/>
    <col min="13573" max="13573" width="7.85546875" style="1" customWidth="1"/>
    <col min="13574" max="13574" width="22.140625" style="1" customWidth="1"/>
    <col min="13575" max="13575" width="8.7109375" style="1" customWidth="1"/>
    <col min="13576" max="13576" width="8.140625" style="1" customWidth="1"/>
    <col min="13577" max="13577" width="13" style="1" customWidth="1"/>
    <col min="13578" max="13578" width="13.5703125" style="1" customWidth="1"/>
    <col min="13579" max="13580" width="13.28515625" style="1" customWidth="1"/>
    <col min="13581" max="13581" width="6.7109375" style="1" customWidth="1"/>
    <col min="13582" max="13582" width="8.140625" style="1" customWidth="1"/>
    <col min="13583" max="13583" width="7.28515625" style="1" customWidth="1"/>
    <col min="13584" max="13584" width="15" style="1" customWidth="1"/>
    <col min="13585" max="13585" width="3.85546875" style="1" customWidth="1"/>
    <col min="13586" max="13586" width="10.85546875" style="1" bestFit="1" customWidth="1"/>
    <col min="13587" max="13587" width="10.5703125" style="1" bestFit="1" customWidth="1"/>
    <col min="13588" max="13588" width="20.85546875" style="1" bestFit="1" customWidth="1"/>
    <col min="13589" max="13589" width="19.85546875" style="1" bestFit="1" customWidth="1"/>
    <col min="13590" max="13590" width="12" style="1" bestFit="1" customWidth="1"/>
    <col min="13591" max="13825" width="9.140625" style="1"/>
    <col min="13826" max="13826" width="5.28515625" style="1" customWidth="1"/>
    <col min="13827" max="13828" width="9.5703125" style="1" customWidth="1"/>
    <col min="13829" max="13829" width="7.85546875" style="1" customWidth="1"/>
    <col min="13830" max="13830" width="22.140625" style="1" customWidth="1"/>
    <col min="13831" max="13831" width="8.7109375" style="1" customWidth="1"/>
    <col min="13832" max="13832" width="8.140625" style="1" customWidth="1"/>
    <col min="13833" max="13833" width="13" style="1" customWidth="1"/>
    <col min="13834" max="13834" width="13.5703125" style="1" customWidth="1"/>
    <col min="13835" max="13836" width="13.28515625" style="1" customWidth="1"/>
    <col min="13837" max="13837" width="6.7109375" style="1" customWidth="1"/>
    <col min="13838" max="13838" width="8.140625" style="1" customWidth="1"/>
    <col min="13839" max="13839" width="7.28515625" style="1" customWidth="1"/>
    <col min="13840" max="13840" width="15" style="1" customWidth="1"/>
    <col min="13841" max="13841" width="3.85546875" style="1" customWidth="1"/>
    <col min="13842" max="13842" width="10.85546875" style="1" bestFit="1" customWidth="1"/>
    <col min="13843" max="13843" width="10.5703125" style="1" bestFit="1" customWidth="1"/>
    <col min="13844" max="13844" width="20.85546875" style="1" bestFit="1" customWidth="1"/>
    <col min="13845" max="13845" width="19.85546875" style="1" bestFit="1" customWidth="1"/>
    <col min="13846" max="13846" width="12" style="1" bestFit="1" customWidth="1"/>
    <col min="13847" max="14081" width="9.140625" style="1"/>
    <col min="14082" max="14082" width="5.28515625" style="1" customWidth="1"/>
    <col min="14083" max="14084" width="9.5703125" style="1" customWidth="1"/>
    <col min="14085" max="14085" width="7.85546875" style="1" customWidth="1"/>
    <col min="14086" max="14086" width="22.140625" style="1" customWidth="1"/>
    <col min="14087" max="14087" width="8.7109375" style="1" customWidth="1"/>
    <col min="14088" max="14088" width="8.140625" style="1" customWidth="1"/>
    <col min="14089" max="14089" width="13" style="1" customWidth="1"/>
    <col min="14090" max="14090" width="13.5703125" style="1" customWidth="1"/>
    <col min="14091" max="14092" width="13.28515625" style="1" customWidth="1"/>
    <col min="14093" max="14093" width="6.7109375" style="1" customWidth="1"/>
    <col min="14094" max="14094" width="8.140625" style="1" customWidth="1"/>
    <col min="14095" max="14095" width="7.28515625" style="1" customWidth="1"/>
    <col min="14096" max="14096" width="15" style="1" customWidth="1"/>
    <col min="14097" max="14097" width="3.85546875" style="1" customWidth="1"/>
    <col min="14098" max="14098" width="10.85546875" style="1" bestFit="1" customWidth="1"/>
    <col min="14099" max="14099" width="10.5703125" style="1" bestFit="1" customWidth="1"/>
    <col min="14100" max="14100" width="20.85546875" style="1" bestFit="1" customWidth="1"/>
    <col min="14101" max="14101" width="19.85546875" style="1" bestFit="1" customWidth="1"/>
    <col min="14102" max="14102" width="12" style="1" bestFit="1" customWidth="1"/>
    <col min="14103" max="14337" width="9.140625" style="1"/>
    <col min="14338" max="14338" width="5.28515625" style="1" customWidth="1"/>
    <col min="14339" max="14340" width="9.5703125" style="1" customWidth="1"/>
    <col min="14341" max="14341" width="7.85546875" style="1" customWidth="1"/>
    <col min="14342" max="14342" width="22.140625" style="1" customWidth="1"/>
    <col min="14343" max="14343" width="8.7109375" style="1" customWidth="1"/>
    <col min="14344" max="14344" width="8.140625" style="1" customWidth="1"/>
    <col min="14345" max="14345" width="13" style="1" customWidth="1"/>
    <col min="14346" max="14346" width="13.5703125" style="1" customWidth="1"/>
    <col min="14347" max="14348" width="13.28515625" style="1" customWidth="1"/>
    <col min="14349" max="14349" width="6.7109375" style="1" customWidth="1"/>
    <col min="14350" max="14350" width="8.140625" style="1" customWidth="1"/>
    <col min="14351" max="14351" width="7.28515625" style="1" customWidth="1"/>
    <col min="14352" max="14352" width="15" style="1" customWidth="1"/>
    <col min="14353" max="14353" width="3.85546875" style="1" customWidth="1"/>
    <col min="14354" max="14354" width="10.85546875" style="1" bestFit="1" customWidth="1"/>
    <col min="14355" max="14355" width="10.5703125" style="1" bestFit="1" customWidth="1"/>
    <col min="14356" max="14356" width="20.85546875" style="1" bestFit="1" customWidth="1"/>
    <col min="14357" max="14357" width="19.85546875" style="1" bestFit="1" customWidth="1"/>
    <col min="14358" max="14358" width="12" style="1" bestFit="1" customWidth="1"/>
    <col min="14359" max="14593" width="9.140625" style="1"/>
    <col min="14594" max="14594" width="5.28515625" style="1" customWidth="1"/>
    <col min="14595" max="14596" width="9.5703125" style="1" customWidth="1"/>
    <col min="14597" max="14597" width="7.85546875" style="1" customWidth="1"/>
    <col min="14598" max="14598" width="22.140625" style="1" customWidth="1"/>
    <col min="14599" max="14599" width="8.7109375" style="1" customWidth="1"/>
    <col min="14600" max="14600" width="8.140625" style="1" customWidth="1"/>
    <col min="14601" max="14601" width="13" style="1" customWidth="1"/>
    <col min="14602" max="14602" width="13.5703125" style="1" customWidth="1"/>
    <col min="14603" max="14604" width="13.28515625" style="1" customWidth="1"/>
    <col min="14605" max="14605" width="6.7109375" style="1" customWidth="1"/>
    <col min="14606" max="14606" width="8.140625" style="1" customWidth="1"/>
    <col min="14607" max="14607" width="7.28515625" style="1" customWidth="1"/>
    <col min="14608" max="14608" width="15" style="1" customWidth="1"/>
    <col min="14609" max="14609" width="3.85546875" style="1" customWidth="1"/>
    <col min="14610" max="14610" width="10.85546875" style="1" bestFit="1" customWidth="1"/>
    <col min="14611" max="14611" width="10.5703125" style="1" bestFit="1" customWidth="1"/>
    <col min="14612" max="14612" width="20.85546875" style="1" bestFit="1" customWidth="1"/>
    <col min="14613" max="14613" width="19.85546875" style="1" bestFit="1" customWidth="1"/>
    <col min="14614" max="14614" width="12" style="1" bestFit="1" customWidth="1"/>
    <col min="14615" max="14849" width="9.140625" style="1"/>
    <col min="14850" max="14850" width="5.28515625" style="1" customWidth="1"/>
    <col min="14851" max="14852" width="9.5703125" style="1" customWidth="1"/>
    <col min="14853" max="14853" width="7.85546875" style="1" customWidth="1"/>
    <col min="14854" max="14854" width="22.140625" style="1" customWidth="1"/>
    <col min="14855" max="14855" width="8.7109375" style="1" customWidth="1"/>
    <col min="14856" max="14856" width="8.140625" style="1" customWidth="1"/>
    <col min="14857" max="14857" width="13" style="1" customWidth="1"/>
    <col min="14858" max="14858" width="13.5703125" style="1" customWidth="1"/>
    <col min="14859" max="14860" width="13.28515625" style="1" customWidth="1"/>
    <col min="14861" max="14861" width="6.7109375" style="1" customWidth="1"/>
    <col min="14862" max="14862" width="8.140625" style="1" customWidth="1"/>
    <col min="14863" max="14863" width="7.28515625" style="1" customWidth="1"/>
    <col min="14864" max="14864" width="15" style="1" customWidth="1"/>
    <col min="14865" max="14865" width="3.85546875" style="1" customWidth="1"/>
    <col min="14866" max="14866" width="10.85546875" style="1" bestFit="1" customWidth="1"/>
    <col min="14867" max="14867" width="10.5703125" style="1" bestFit="1" customWidth="1"/>
    <col min="14868" max="14868" width="20.85546875" style="1" bestFit="1" customWidth="1"/>
    <col min="14869" max="14869" width="19.85546875" style="1" bestFit="1" customWidth="1"/>
    <col min="14870" max="14870" width="12" style="1" bestFit="1" customWidth="1"/>
    <col min="14871" max="15105" width="9.140625" style="1"/>
    <col min="15106" max="15106" width="5.28515625" style="1" customWidth="1"/>
    <col min="15107" max="15108" width="9.5703125" style="1" customWidth="1"/>
    <col min="15109" max="15109" width="7.85546875" style="1" customWidth="1"/>
    <col min="15110" max="15110" width="22.140625" style="1" customWidth="1"/>
    <col min="15111" max="15111" width="8.7109375" style="1" customWidth="1"/>
    <col min="15112" max="15112" width="8.140625" style="1" customWidth="1"/>
    <col min="15113" max="15113" width="13" style="1" customWidth="1"/>
    <col min="15114" max="15114" width="13.5703125" style="1" customWidth="1"/>
    <col min="15115" max="15116" width="13.28515625" style="1" customWidth="1"/>
    <col min="15117" max="15117" width="6.7109375" style="1" customWidth="1"/>
    <col min="15118" max="15118" width="8.140625" style="1" customWidth="1"/>
    <col min="15119" max="15119" width="7.28515625" style="1" customWidth="1"/>
    <col min="15120" max="15120" width="15" style="1" customWidth="1"/>
    <col min="15121" max="15121" width="3.85546875" style="1" customWidth="1"/>
    <col min="15122" max="15122" width="10.85546875" style="1" bestFit="1" customWidth="1"/>
    <col min="15123" max="15123" width="10.5703125" style="1" bestFit="1" customWidth="1"/>
    <col min="15124" max="15124" width="20.85546875" style="1" bestFit="1" customWidth="1"/>
    <col min="15125" max="15125" width="19.85546875" style="1" bestFit="1" customWidth="1"/>
    <col min="15126" max="15126" width="12" style="1" bestFit="1" customWidth="1"/>
    <col min="15127" max="15361" width="9.140625" style="1"/>
    <col min="15362" max="15362" width="5.28515625" style="1" customWidth="1"/>
    <col min="15363" max="15364" width="9.5703125" style="1" customWidth="1"/>
    <col min="15365" max="15365" width="7.85546875" style="1" customWidth="1"/>
    <col min="15366" max="15366" width="22.140625" style="1" customWidth="1"/>
    <col min="15367" max="15367" width="8.7109375" style="1" customWidth="1"/>
    <col min="15368" max="15368" width="8.140625" style="1" customWidth="1"/>
    <col min="15369" max="15369" width="13" style="1" customWidth="1"/>
    <col min="15370" max="15370" width="13.5703125" style="1" customWidth="1"/>
    <col min="15371" max="15372" width="13.28515625" style="1" customWidth="1"/>
    <col min="15373" max="15373" width="6.7109375" style="1" customWidth="1"/>
    <col min="15374" max="15374" width="8.140625" style="1" customWidth="1"/>
    <col min="15375" max="15375" width="7.28515625" style="1" customWidth="1"/>
    <col min="15376" max="15376" width="15" style="1" customWidth="1"/>
    <col min="15377" max="15377" width="3.85546875" style="1" customWidth="1"/>
    <col min="15378" max="15378" width="10.85546875" style="1" bestFit="1" customWidth="1"/>
    <col min="15379" max="15379" width="10.5703125" style="1" bestFit="1" customWidth="1"/>
    <col min="15380" max="15380" width="20.85546875" style="1" bestFit="1" customWidth="1"/>
    <col min="15381" max="15381" width="19.85546875" style="1" bestFit="1" customWidth="1"/>
    <col min="15382" max="15382" width="12" style="1" bestFit="1" customWidth="1"/>
    <col min="15383" max="15617" width="9.140625" style="1"/>
    <col min="15618" max="15618" width="5.28515625" style="1" customWidth="1"/>
    <col min="15619" max="15620" width="9.5703125" style="1" customWidth="1"/>
    <col min="15621" max="15621" width="7.85546875" style="1" customWidth="1"/>
    <col min="15622" max="15622" width="22.140625" style="1" customWidth="1"/>
    <col min="15623" max="15623" width="8.7109375" style="1" customWidth="1"/>
    <col min="15624" max="15624" width="8.140625" style="1" customWidth="1"/>
    <col min="15625" max="15625" width="13" style="1" customWidth="1"/>
    <col min="15626" max="15626" width="13.5703125" style="1" customWidth="1"/>
    <col min="15627" max="15628" width="13.28515625" style="1" customWidth="1"/>
    <col min="15629" max="15629" width="6.7109375" style="1" customWidth="1"/>
    <col min="15630" max="15630" width="8.140625" style="1" customWidth="1"/>
    <col min="15631" max="15631" width="7.28515625" style="1" customWidth="1"/>
    <col min="15632" max="15632" width="15" style="1" customWidth="1"/>
    <col min="15633" max="15633" width="3.85546875" style="1" customWidth="1"/>
    <col min="15634" max="15634" width="10.85546875" style="1" bestFit="1" customWidth="1"/>
    <col min="15635" max="15635" width="10.5703125" style="1" bestFit="1" customWidth="1"/>
    <col min="15636" max="15636" width="20.85546875" style="1" bestFit="1" customWidth="1"/>
    <col min="15637" max="15637" width="19.85546875" style="1" bestFit="1" customWidth="1"/>
    <col min="15638" max="15638" width="12" style="1" bestFit="1" customWidth="1"/>
    <col min="15639" max="15873" width="9.140625" style="1"/>
    <col min="15874" max="15874" width="5.28515625" style="1" customWidth="1"/>
    <col min="15875" max="15876" width="9.5703125" style="1" customWidth="1"/>
    <col min="15877" max="15877" width="7.85546875" style="1" customWidth="1"/>
    <col min="15878" max="15878" width="22.140625" style="1" customWidth="1"/>
    <col min="15879" max="15879" width="8.7109375" style="1" customWidth="1"/>
    <col min="15880" max="15880" width="8.140625" style="1" customWidth="1"/>
    <col min="15881" max="15881" width="13" style="1" customWidth="1"/>
    <col min="15882" max="15882" width="13.5703125" style="1" customWidth="1"/>
    <col min="15883" max="15884" width="13.28515625" style="1" customWidth="1"/>
    <col min="15885" max="15885" width="6.7109375" style="1" customWidth="1"/>
    <col min="15886" max="15886" width="8.140625" style="1" customWidth="1"/>
    <col min="15887" max="15887" width="7.28515625" style="1" customWidth="1"/>
    <col min="15888" max="15888" width="15" style="1" customWidth="1"/>
    <col min="15889" max="15889" width="3.85546875" style="1" customWidth="1"/>
    <col min="15890" max="15890" width="10.85546875" style="1" bestFit="1" customWidth="1"/>
    <col min="15891" max="15891" width="10.5703125" style="1" bestFit="1" customWidth="1"/>
    <col min="15892" max="15892" width="20.85546875" style="1" bestFit="1" customWidth="1"/>
    <col min="15893" max="15893" width="19.85546875" style="1" bestFit="1" customWidth="1"/>
    <col min="15894" max="15894" width="12" style="1" bestFit="1" customWidth="1"/>
    <col min="15895" max="16129" width="9.140625" style="1"/>
    <col min="16130" max="16130" width="5.28515625" style="1" customWidth="1"/>
    <col min="16131" max="16132" width="9.5703125" style="1" customWidth="1"/>
    <col min="16133" max="16133" width="7.85546875" style="1" customWidth="1"/>
    <col min="16134" max="16134" width="22.140625" style="1" customWidth="1"/>
    <col min="16135" max="16135" width="8.7109375" style="1" customWidth="1"/>
    <col min="16136" max="16136" width="8.140625" style="1" customWidth="1"/>
    <col min="16137" max="16137" width="13" style="1" customWidth="1"/>
    <col min="16138" max="16138" width="13.5703125" style="1" customWidth="1"/>
    <col min="16139" max="16140" width="13.28515625" style="1" customWidth="1"/>
    <col min="16141" max="16141" width="6.7109375" style="1" customWidth="1"/>
    <col min="16142" max="16142" width="8.140625" style="1" customWidth="1"/>
    <col min="16143" max="16143" width="7.28515625" style="1" customWidth="1"/>
    <col min="16144" max="16144" width="15" style="1" customWidth="1"/>
    <col min="16145" max="16145" width="3.85546875" style="1" customWidth="1"/>
    <col min="16146" max="16146" width="10.85546875" style="1" bestFit="1" customWidth="1"/>
    <col min="16147" max="16147" width="10.5703125" style="1" bestFit="1" customWidth="1"/>
    <col min="16148" max="16148" width="20.85546875" style="1" bestFit="1" customWidth="1"/>
    <col min="16149" max="16149" width="19.85546875" style="1" bestFit="1" customWidth="1"/>
    <col min="16150" max="16150" width="12" style="1" bestFit="1" customWidth="1"/>
    <col min="16151" max="16384" width="9.140625" style="1"/>
  </cols>
  <sheetData>
    <row r="1" spans="1:35" ht="321.75" customHeight="1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ht="321.75" customHeight="1" x14ac:dyDescent="0.25">
      <c r="A2"/>
      <c r="B2" s="1" t="str">
        <f>D2&amp;"-"&amp;G2&amp;"-"&amp;J2</f>
        <v>Scal-Trawl-Len-MF</v>
      </c>
      <c r="D2" s="1" t="s">
        <v>19</v>
      </c>
      <c r="E2"/>
      <c r="F2"/>
      <c r="G2" s="1" t="s">
        <v>20</v>
      </c>
      <c r="H2"/>
      <c r="I2"/>
      <c r="J2" s="1" t="s">
        <v>21</v>
      </c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 s="1">
        <v>1969</v>
      </c>
      <c r="AH2" s="1">
        <v>18</v>
      </c>
      <c r="AI2" s="1">
        <v>2</v>
      </c>
    </row>
    <row r="3" spans="1:35" ht="15" x14ac:dyDescent="0.25">
      <c r="A3" s="18"/>
      <c r="E3"/>
      <c r="F3"/>
      <c r="H3"/>
      <c r="I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</row>
    <row r="4" spans="1:35" customFormat="1" ht="18.75" x14ac:dyDescent="0.3">
      <c r="A4" t="s">
        <v>3</v>
      </c>
      <c r="B4" t="s">
        <v>2</v>
      </c>
      <c r="C4" t="s">
        <v>349</v>
      </c>
      <c r="D4" t="s">
        <v>0</v>
      </c>
      <c r="E4" t="s">
        <v>13</v>
      </c>
      <c r="F4" t="s">
        <v>14</v>
      </c>
      <c r="G4" t="s">
        <v>15</v>
      </c>
      <c r="H4" t="s">
        <v>16</v>
      </c>
      <c r="I4" t="s">
        <v>9</v>
      </c>
      <c r="J4" t="s">
        <v>1</v>
      </c>
      <c r="K4" t="s">
        <v>10</v>
      </c>
      <c r="L4" t="s">
        <v>11</v>
      </c>
      <c r="M4" s="8" t="s">
        <v>12</v>
      </c>
      <c r="N4" t="s">
        <v>4</v>
      </c>
      <c r="O4" t="s">
        <v>5</v>
      </c>
      <c r="P4" t="s">
        <v>17</v>
      </c>
      <c r="Q4" t="s">
        <v>7</v>
      </c>
      <c r="R4" s="8" t="s">
        <v>8</v>
      </c>
      <c r="S4" s="8" t="s">
        <v>6</v>
      </c>
      <c r="T4" t="s">
        <v>190</v>
      </c>
      <c r="U4" t="s">
        <v>18</v>
      </c>
      <c r="V4" t="s">
        <v>332</v>
      </c>
      <c r="W4" t="s">
        <v>346</v>
      </c>
      <c r="X4" s="9">
        <v>2794</v>
      </c>
      <c r="Y4" s="9" t="s">
        <v>275</v>
      </c>
      <c r="Z4" s="10"/>
    </row>
    <row r="5" spans="1:35" customFormat="1" ht="15" x14ac:dyDescent="0.25">
      <c r="A5">
        <v>1971</v>
      </c>
      <c r="B5">
        <v>1</v>
      </c>
      <c r="C5">
        <v>1971.5</v>
      </c>
      <c r="D5">
        <v>1</v>
      </c>
      <c r="E5">
        <v>1</v>
      </c>
      <c r="F5">
        <v>3</v>
      </c>
      <c r="G5" t="s">
        <v>338</v>
      </c>
      <c r="H5">
        <v>0</v>
      </c>
      <c r="I5">
        <v>0</v>
      </c>
      <c r="J5">
        <v>1</v>
      </c>
      <c r="K5">
        <v>1</v>
      </c>
      <c r="L5">
        <v>1</v>
      </c>
      <c r="M5" s="8">
        <v>44</v>
      </c>
      <c r="N5" s="8">
        <v>3.2000000000000001E-2</v>
      </c>
      <c r="O5" s="8">
        <v>2.5721899999999999E-2</v>
      </c>
      <c r="P5">
        <v>0.44339499999999998</v>
      </c>
      <c r="Q5">
        <v>125</v>
      </c>
      <c r="R5" s="8">
        <v>113.896</v>
      </c>
      <c r="S5" s="8">
        <v>0.87357300000000004</v>
      </c>
      <c r="T5" s="8">
        <v>3.2000000000000001E-2</v>
      </c>
      <c r="U5" s="8">
        <v>2.5721899999999999E-2</v>
      </c>
      <c r="V5" t="s">
        <v>226</v>
      </c>
      <c r="W5" t="s">
        <v>226</v>
      </c>
    </row>
    <row r="6" spans="1:35" customFormat="1" ht="15" x14ac:dyDescent="0.25">
      <c r="A6">
        <v>1971</v>
      </c>
      <c r="B6">
        <v>1</v>
      </c>
      <c r="C6">
        <v>1971.5</v>
      </c>
      <c r="D6">
        <v>1</v>
      </c>
      <c r="E6">
        <v>1</v>
      </c>
      <c r="F6">
        <v>3</v>
      </c>
      <c r="G6" t="s">
        <v>338</v>
      </c>
      <c r="H6">
        <v>0</v>
      </c>
      <c r="I6">
        <v>0</v>
      </c>
      <c r="J6">
        <v>1</v>
      </c>
      <c r="K6">
        <v>1</v>
      </c>
      <c r="L6">
        <v>1</v>
      </c>
      <c r="M6">
        <v>46</v>
      </c>
      <c r="N6">
        <v>8.0000799999999997E-3</v>
      </c>
      <c r="O6" s="8">
        <v>9.0595999999999993E-3</v>
      </c>
      <c r="P6">
        <v>-0.12502199999999999</v>
      </c>
      <c r="Q6">
        <v>125</v>
      </c>
      <c r="R6">
        <v>113.896</v>
      </c>
      <c r="S6">
        <v>-0.124375</v>
      </c>
      <c r="T6">
        <v>4.0000099999999997E-2</v>
      </c>
      <c r="U6" s="8">
        <v>3.47815E-2</v>
      </c>
      <c r="V6" t="s">
        <v>226</v>
      </c>
      <c r="W6" t="s">
        <v>226</v>
      </c>
    </row>
    <row r="7" spans="1:35" customFormat="1" ht="15" x14ac:dyDescent="0.25">
      <c r="A7">
        <v>1971</v>
      </c>
      <c r="B7">
        <v>1</v>
      </c>
      <c r="C7">
        <v>1971.5</v>
      </c>
      <c r="D7">
        <v>1</v>
      </c>
      <c r="E7">
        <v>1</v>
      </c>
      <c r="F7">
        <v>3</v>
      </c>
      <c r="G7" t="s">
        <v>338</v>
      </c>
      <c r="H7">
        <v>0</v>
      </c>
      <c r="I7">
        <v>0</v>
      </c>
      <c r="J7">
        <v>1</v>
      </c>
      <c r="K7">
        <v>1</v>
      </c>
      <c r="L7">
        <v>1</v>
      </c>
      <c r="M7">
        <v>48</v>
      </c>
      <c r="N7">
        <v>8.0000799999999997E-3</v>
      </c>
      <c r="O7" s="8">
        <v>1.15873E-2</v>
      </c>
      <c r="P7">
        <v>-0.37476199999999998</v>
      </c>
      <c r="Q7">
        <v>125</v>
      </c>
      <c r="R7">
        <v>113.896</v>
      </c>
      <c r="S7">
        <v>-0.37046400000000002</v>
      </c>
      <c r="T7">
        <v>4.80002E-2</v>
      </c>
      <c r="U7">
        <v>4.6368800000000002E-2</v>
      </c>
      <c r="V7" t="s">
        <v>226</v>
      </c>
      <c r="W7" t="s">
        <v>226</v>
      </c>
    </row>
    <row r="8" spans="1:35" customFormat="1" ht="15" x14ac:dyDescent="0.25">
      <c r="A8">
        <v>1971</v>
      </c>
      <c r="B8">
        <v>1</v>
      </c>
      <c r="C8">
        <v>1971.5</v>
      </c>
      <c r="D8">
        <v>1</v>
      </c>
      <c r="E8">
        <v>1</v>
      </c>
      <c r="F8">
        <v>3</v>
      </c>
      <c r="G8" t="s">
        <v>338</v>
      </c>
      <c r="H8">
        <v>0</v>
      </c>
      <c r="I8">
        <v>0</v>
      </c>
      <c r="J8">
        <v>1</v>
      </c>
      <c r="K8">
        <v>1</v>
      </c>
      <c r="L8">
        <v>1</v>
      </c>
      <c r="M8">
        <v>50</v>
      </c>
      <c r="N8" s="8">
        <v>1.60001E-2</v>
      </c>
      <c r="O8">
        <v>1.4596700000000001E-2</v>
      </c>
      <c r="P8">
        <v>0.130827</v>
      </c>
      <c r="Q8">
        <v>125</v>
      </c>
      <c r="R8">
        <v>113.896</v>
      </c>
      <c r="S8" s="8">
        <v>0.18359800000000001</v>
      </c>
      <c r="T8">
        <v>6.4000199999999993E-2</v>
      </c>
      <c r="U8">
        <v>6.0965499999999999E-2</v>
      </c>
      <c r="V8" t="s">
        <v>226</v>
      </c>
      <c r="W8" t="s">
        <v>226</v>
      </c>
    </row>
    <row r="9" spans="1:35" customFormat="1" ht="15" x14ac:dyDescent="0.25">
      <c r="A9">
        <v>1971</v>
      </c>
      <c r="B9">
        <v>1</v>
      </c>
      <c r="C9">
        <v>1971.5</v>
      </c>
      <c r="D9">
        <v>1</v>
      </c>
      <c r="E9">
        <v>1</v>
      </c>
      <c r="F9">
        <v>3</v>
      </c>
      <c r="G9" t="s">
        <v>338</v>
      </c>
      <c r="H9">
        <v>0</v>
      </c>
      <c r="I9">
        <v>0</v>
      </c>
      <c r="J9">
        <v>1</v>
      </c>
      <c r="K9">
        <v>1</v>
      </c>
      <c r="L9">
        <v>1</v>
      </c>
      <c r="M9">
        <v>52</v>
      </c>
      <c r="N9">
        <v>3.2000000000000001E-2</v>
      </c>
      <c r="O9" s="8">
        <v>1.80786E-2</v>
      </c>
      <c r="P9">
        <v>1.16821</v>
      </c>
      <c r="Q9">
        <v>125</v>
      </c>
      <c r="R9">
        <v>113.896</v>
      </c>
      <c r="S9">
        <v>2.2840400000000001</v>
      </c>
      <c r="T9">
        <v>9.6000199999999994E-2</v>
      </c>
      <c r="U9">
        <v>7.9044100000000006E-2</v>
      </c>
      <c r="V9" t="s">
        <v>226</v>
      </c>
      <c r="W9" t="s">
        <v>226</v>
      </c>
    </row>
    <row r="10" spans="1:35" customFormat="1" ht="15" x14ac:dyDescent="0.25">
      <c r="A10">
        <v>1971</v>
      </c>
      <c r="B10">
        <v>1</v>
      </c>
      <c r="C10">
        <v>1971.5</v>
      </c>
      <c r="D10">
        <v>1</v>
      </c>
      <c r="E10">
        <v>1</v>
      </c>
      <c r="F10">
        <v>3</v>
      </c>
      <c r="G10" t="s">
        <v>338</v>
      </c>
      <c r="H10">
        <v>0</v>
      </c>
      <c r="I10">
        <v>0</v>
      </c>
      <c r="J10">
        <v>1</v>
      </c>
      <c r="K10">
        <v>1</v>
      </c>
      <c r="L10">
        <v>1</v>
      </c>
      <c r="M10">
        <v>54</v>
      </c>
      <c r="N10">
        <v>8.0000799999999997E-3</v>
      </c>
      <c r="O10" s="8">
        <v>2.198E-2</v>
      </c>
      <c r="P10">
        <v>-1.0660400000000001</v>
      </c>
      <c r="Q10">
        <v>125</v>
      </c>
      <c r="R10">
        <v>113.896</v>
      </c>
      <c r="S10">
        <v>-1.0106900000000001</v>
      </c>
      <c r="T10">
        <v>0.104</v>
      </c>
      <c r="U10">
        <v>0.101024</v>
      </c>
      <c r="V10" t="s">
        <v>226</v>
      </c>
      <c r="W10" t="s">
        <v>226</v>
      </c>
    </row>
    <row r="11" spans="1:35" ht="15" x14ac:dyDescent="0.25">
      <c r="A11">
        <v>1971</v>
      </c>
      <c r="B11">
        <v>1</v>
      </c>
      <c r="C11">
        <v>1971.5</v>
      </c>
      <c r="D11">
        <v>1</v>
      </c>
      <c r="E11">
        <v>1</v>
      </c>
      <c r="F11">
        <v>3</v>
      </c>
      <c r="G11" t="s">
        <v>338</v>
      </c>
      <c r="H11">
        <v>0</v>
      </c>
      <c r="I11">
        <v>0</v>
      </c>
      <c r="J11">
        <v>1</v>
      </c>
      <c r="K11">
        <v>1</v>
      </c>
      <c r="L11">
        <v>1</v>
      </c>
      <c r="M11">
        <v>56</v>
      </c>
      <c r="N11">
        <v>0.04</v>
      </c>
      <c r="O11" s="8">
        <v>2.6200000000000001E-2</v>
      </c>
      <c r="P11">
        <v>0.96593200000000001</v>
      </c>
      <c r="Q11">
        <v>125</v>
      </c>
      <c r="R11">
        <v>113.896</v>
      </c>
      <c r="S11">
        <v>2.1155900000000001</v>
      </c>
      <c r="T11">
        <v>0.14399999999999999</v>
      </c>
      <c r="U11">
        <v>0.127224</v>
      </c>
      <c r="V11" t="s">
        <v>226</v>
      </c>
      <c r="W11" t="s">
        <v>226</v>
      </c>
    </row>
    <row r="12" spans="1:35" ht="15" x14ac:dyDescent="0.25">
      <c r="A12">
        <v>1971</v>
      </c>
      <c r="B12">
        <v>1</v>
      </c>
      <c r="C12">
        <v>1971.5</v>
      </c>
      <c r="D12">
        <v>1</v>
      </c>
      <c r="E12">
        <v>1</v>
      </c>
      <c r="F12">
        <v>3</v>
      </c>
      <c r="G12" t="s">
        <v>338</v>
      </c>
      <c r="H12">
        <v>0</v>
      </c>
      <c r="I12">
        <v>0</v>
      </c>
      <c r="J12">
        <v>1</v>
      </c>
      <c r="K12">
        <v>1</v>
      </c>
      <c r="L12">
        <v>1</v>
      </c>
      <c r="M12">
        <v>58</v>
      </c>
      <c r="N12">
        <v>4.8000000000000001E-2</v>
      </c>
      <c r="O12" s="8">
        <v>3.0573300000000001E-2</v>
      </c>
      <c r="P12">
        <v>1.1317299999999999</v>
      </c>
      <c r="Q12">
        <v>125</v>
      </c>
      <c r="R12">
        <v>113.896</v>
      </c>
      <c r="S12">
        <v>2.7064400000000002</v>
      </c>
      <c r="T12">
        <v>0.192</v>
      </c>
      <c r="U12">
        <v>0.15779699999999999</v>
      </c>
      <c r="V12" t="s">
        <v>226</v>
      </c>
      <c r="W12" t="s">
        <v>226</v>
      </c>
    </row>
    <row r="13" spans="1:35" ht="15" x14ac:dyDescent="0.25">
      <c r="A13">
        <v>1971</v>
      </c>
      <c r="B13">
        <v>1</v>
      </c>
      <c r="C13">
        <v>1971.5</v>
      </c>
      <c r="D13">
        <v>1</v>
      </c>
      <c r="E13">
        <v>1</v>
      </c>
      <c r="F13">
        <v>3</v>
      </c>
      <c r="G13" t="s">
        <v>338</v>
      </c>
      <c r="H13">
        <v>0</v>
      </c>
      <c r="I13">
        <v>0</v>
      </c>
      <c r="J13">
        <v>1</v>
      </c>
      <c r="K13">
        <v>1</v>
      </c>
      <c r="L13">
        <v>1</v>
      </c>
      <c r="M13">
        <v>60</v>
      </c>
      <c r="N13">
        <v>1.60001E-2</v>
      </c>
      <c r="O13" s="8">
        <v>3.4832399999999999E-2</v>
      </c>
      <c r="P13">
        <v>-1.1483300000000001</v>
      </c>
      <c r="Q13">
        <v>125</v>
      </c>
      <c r="R13">
        <v>113.896</v>
      </c>
      <c r="S13">
        <v>-1.5559099999999999</v>
      </c>
      <c r="T13">
        <v>0.20799999999999999</v>
      </c>
      <c r="U13">
        <v>0.19263</v>
      </c>
      <c r="V13" t="s">
        <v>226</v>
      </c>
      <c r="W13" t="s">
        <v>226</v>
      </c>
    </row>
    <row r="14" spans="1:35" ht="15" x14ac:dyDescent="0.25">
      <c r="A14">
        <v>1971</v>
      </c>
      <c r="B14">
        <v>1</v>
      </c>
      <c r="C14">
        <v>1971.5</v>
      </c>
      <c r="D14">
        <v>1</v>
      </c>
      <c r="E14">
        <v>1</v>
      </c>
      <c r="F14">
        <v>3</v>
      </c>
      <c r="G14" t="s">
        <v>338</v>
      </c>
      <c r="H14">
        <v>0</v>
      </c>
      <c r="I14">
        <v>0</v>
      </c>
      <c r="J14">
        <v>1</v>
      </c>
      <c r="K14">
        <v>1</v>
      </c>
      <c r="L14">
        <v>1</v>
      </c>
      <c r="M14">
        <v>62</v>
      </c>
      <c r="N14">
        <v>2.4E-2</v>
      </c>
      <c r="O14" s="8">
        <v>3.8568999999999999E-2</v>
      </c>
      <c r="P14">
        <v>-0.84587599999999996</v>
      </c>
      <c r="Q14">
        <v>125</v>
      </c>
      <c r="R14">
        <v>113.896</v>
      </c>
      <c r="S14">
        <v>-1.42319</v>
      </c>
      <c r="T14">
        <v>0.23200000000000001</v>
      </c>
      <c r="U14">
        <v>0.23119899999999999</v>
      </c>
      <c r="V14" t="s">
        <v>226</v>
      </c>
      <c r="W14" t="s">
        <v>226</v>
      </c>
    </row>
    <row r="15" spans="1:35" ht="15" x14ac:dyDescent="0.25">
      <c r="A15">
        <v>1971</v>
      </c>
      <c r="B15">
        <v>1</v>
      </c>
      <c r="C15">
        <v>1971.5</v>
      </c>
      <c r="D15">
        <v>1</v>
      </c>
      <c r="E15">
        <v>1</v>
      </c>
      <c r="F15">
        <v>3</v>
      </c>
      <c r="G15" t="s">
        <v>338</v>
      </c>
      <c r="H15">
        <v>0</v>
      </c>
      <c r="I15">
        <v>0</v>
      </c>
      <c r="J15">
        <v>1</v>
      </c>
      <c r="K15">
        <v>1</v>
      </c>
      <c r="L15">
        <v>1</v>
      </c>
      <c r="M15">
        <v>64</v>
      </c>
      <c r="N15">
        <v>8.7999800000000003E-2</v>
      </c>
      <c r="O15" s="8">
        <v>8.3499299999999999E-2</v>
      </c>
      <c r="P15">
        <v>0.18189</v>
      </c>
      <c r="Q15">
        <v>125</v>
      </c>
      <c r="R15">
        <v>113.896</v>
      </c>
      <c r="S15">
        <v>0.57745800000000003</v>
      </c>
      <c r="T15">
        <v>0.32</v>
      </c>
      <c r="U15">
        <v>0.31469799999999998</v>
      </c>
      <c r="V15" t="s">
        <v>226</v>
      </c>
      <c r="W15" t="s">
        <v>226</v>
      </c>
    </row>
    <row r="16" spans="1:35" ht="15" x14ac:dyDescent="0.25">
      <c r="A16">
        <v>1971</v>
      </c>
      <c r="B16">
        <v>1</v>
      </c>
      <c r="C16">
        <v>1971.5</v>
      </c>
      <c r="D16">
        <v>1</v>
      </c>
      <c r="E16">
        <v>1</v>
      </c>
      <c r="F16">
        <v>3</v>
      </c>
      <c r="G16" t="s">
        <v>338</v>
      </c>
      <c r="H16">
        <v>0</v>
      </c>
      <c r="I16">
        <v>0</v>
      </c>
      <c r="J16">
        <v>1</v>
      </c>
      <c r="K16">
        <v>1</v>
      </c>
      <c r="L16">
        <v>1</v>
      </c>
      <c r="M16">
        <v>68</v>
      </c>
      <c r="N16">
        <v>6.3999899999999998E-2</v>
      </c>
      <c r="O16" s="8">
        <v>7.9046199999999997E-2</v>
      </c>
      <c r="P16">
        <v>-0.62348300000000001</v>
      </c>
      <c r="Q16">
        <v>125</v>
      </c>
      <c r="R16">
        <v>113.896</v>
      </c>
      <c r="S16">
        <v>-1.6892</v>
      </c>
      <c r="T16">
        <v>0.38400000000000001</v>
      </c>
      <c r="U16">
        <v>0.39374399999999998</v>
      </c>
      <c r="V16" t="s">
        <v>226</v>
      </c>
      <c r="W16" t="s">
        <v>226</v>
      </c>
    </row>
    <row r="17" spans="1:23" ht="15" x14ac:dyDescent="0.25">
      <c r="A17">
        <v>1971</v>
      </c>
      <c r="B17">
        <v>1</v>
      </c>
      <c r="C17">
        <v>1971.5</v>
      </c>
      <c r="D17">
        <v>1</v>
      </c>
      <c r="E17">
        <v>1</v>
      </c>
      <c r="F17">
        <v>3</v>
      </c>
      <c r="G17" t="s">
        <v>338</v>
      </c>
      <c r="H17">
        <v>0</v>
      </c>
      <c r="I17">
        <v>0</v>
      </c>
      <c r="J17">
        <v>1</v>
      </c>
      <c r="K17">
        <v>1</v>
      </c>
      <c r="L17">
        <v>1</v>
      </c>
      <c r="M17">
        <v>72</v>
      </c>
      <c r="N17">
        <v>3.2000000000000001E-2</v>
      </c>
      <c r="O17" s="8">
        <v>5.89586E-2</v>
      </c>
      <c r="P17">
        <v>-1.2796000000000001</v>
      </c>
      <c r="Q17">
        <v>125</v>
      </c>
      <c r="R17">
        <v>113.896</v>
      </c>
      <c r="S17">
        <v>-2.4443999999999999</v>
      </c>
      <c r="T17">
        <v>0.41599999999999998</v>
      </c>
      <c r="U17">
        <v>0.45270300000000002</v>
      </c>
      <c r="V17" t="s">
        <v>226</v>
      </c>
      <c r="W17" t="s">
        <v>226</v>
      </c>
    </row>
    <row r="18" spans="1:23" ht="15" x14ac:dyDescent="0.25">
      <c r="A18">
        <v>1971</v>
      </c>
      <c r="B18">
        <v>1</v>
      </c>
      <c r="C18">
        <v>1971.5</v>
      </c>
      <c r="D18">
        <v>1</v>
      </c>
      <c r="E18">
        <v>1</v>
      </c>
      <c r="F18">
        <v>3</v>
      </c>
      <c r="G18" t="s">
        <v>338</v>
      </c>
      <c r="H18">
        <v>0</v>
      </c>
      <c r="I18">
        <v>0</v>
      </c>
      <c r="J18">
        <v>1</v>
      </c>
      <c r="K18">
        <v>1</v>
      </c>
      <c r="L18">
        <v>1</v>
      </c>
      <c r="M18">
        <v>76</v>
      </c>
      <c r="N18">
        <v>0.04</v>
      </c>
      <c r="O18" s="8">
        <v>5.2298299999999999E-2</v>
      </c>
      <c r="P18">
        <v>-0.61761900000000003</v>
      </c>
      <c r="Q18">
        <v>125</v>
      </c>
      <c r="R18">
        <v>113.896</v>
      </c>
      <c r="S18">
        <v>-1.3404199999999999</v>
      </c>
      <c r="T18">
        <v>0.45600000000000002</v>
      </c>
      <c r="U18">
        <v>0.50500100000000003</v>
      </c>
      <c r="V18" t="s">
        <v>226</v>
      </c>
      <c r="W18" t="s">
        <v>226</v>
      </c>
    </row>
    <row r="19" spans="1:23" ht="15" x14ac:dyDescent="0.25">
      <c r="A19">
        <v>1971</v>
      </c>
      <c r="B19">
        <v>1</v>
      </c>
      <c r="C19">
        <v>1971.5</v>
      </c>
      <c r="D19">
        <v>1</v>
      </c>
      <c r="E19">
        <v>1</v>
      </c>
      <c r="F19">
        <v>3</v>
      </c>
      <c r="G19" t="s">
        <v>338</v>
      </c>
      <c r="H19">
        <v>0</v>
      </c>
      <c r="I19">
        <v>0</v>
      </c>
      <c r="J19">
        <v>1</v>
      </c>
      <c r="K19">
        <v>1</v>
      </c>
      <c r="L19">
        <v>1</v>
      </c>
      <c r="M19"/>
      <c r="N19"/>
      <c r="O19" s="8"/>
      <c r="P19"/>
      <c r="Q19"/>
      <c r="R19"/>
      <c r="S19"/>
      <c r="T19"/>
      <c r="U19"/>
      <c r="V19"/>
      <c r="W19"/>
    </row>
    <row r="20" spans="1:23" ht="15" x14ac:dyDescent="0.25">
      <c r="A20">
        <v>1971</v>
      </c>
      <c r="B20">
        <v>1</v>
      </c>
      <c r="C20">
        <v>1971.5</v>
      </c>
      <c r="D20">
        <v>1</v>
      </c>
      <c r="E20">
        <v>1</v>
      </c>
      <c r="F20">
        <v>3</v>
      </c>
      <c r="G20" t="s">
        <v>338</v>
      </c>
      <c r="H20">
        <v>0</v>
      </c>
      <c r="I20">
        <v>0</v>
      </c>
      <c r="J20">
        <v>2</v>
      </c>
      <c r="K20">
        <v>1</v>
      </c>
      <c r="L20">
        <v>43</v>
      </c>
      <c r="M20">
        <v>42</v>
      </c>
      <c r="N20">
        <v>8.0000799999999997E-3</v>
      </c>
      <c r="O20" s="8">
        <v>1.86897E-2</v>
      </c>
      <c r="P20">
        <v>-0.882498</v>
      </c>
      <c r="Q20">
        <v>125</v>
      </c>
      <c r="R20">
        <v>113.896</v>
      </c>
      <c r="S20">
        <v>-0.84853100000000004</v>
      </c>
      <c r="T20">
        <v>0.46400000000000002</v>
      </c>
      <c r="U20">
        <v>0.52369100000000002</v>
      </c>
      <c r="V20" t="s">
        <v>226</v>
      </c>
      <c r="W20" t="s">
        <v>226</v>
      </c>
    </row>
    <row r="21" spans="1:23" ht="15" x14ac:dyDescent="0.25">
      <c r="A21">
        <v>1971</v>
      </c>
      <c r="B21">
        <v>1</v>
      </c>
      <c r="C21">
        <v>1971.5</v>
      </c>
      <c r="D21">
        <v>1</v>
      </c>
      <c r="E21">
        <v>1</v>
      </c>
      <c r="F21">
        <v>3</v>
      </c>
      <c r="G21" t="s">
        <v>338</v>
      </c>
      <c r="H21">
        <v>0</v>
      </c>
      <c r="I21">
        <v>0</v>
      </c>
      <c r="J21">
        <v>2</v>
      </c>
      <c r="K21">
        <v>1</v>
      </c>
      <c r="L21">
        <v>43</v>
      </c>
      <c r="M21">
        <v>44</v>
      </c>
      <c r="N21" s="8">
        <v>9.9999700000000006E-8</v>
      </c>
      <c r="O21" s="8">
        <v>7.1161599999999998E-3</v>
      </c>
      <c r="P21">
        <v>-0.94650400000000001</v>
      </c>
      <c r="Q21">
        <v>125</v>
      </c>
      <c r="R21">
        <v>113.896</v>
      </c>
      <c r="S21">
        <v>-1.39658E-4</v>
      </c>
      <c r="T21">
        <v>0.46400000000000002</v>
      </c>
      <c r="U21">
        <v>0.53080700000000003</v>
      </c>
      <c r="V21" t="s">
        <v>226</v>
      </c>
      <c r="W21" t="s">
        <v>226</v>
      </c>
    </row>
    <row r="22" spans="1:23" ht="15" x14ac:dyDescent="0.25">
      <c r="A22">
        <v>1971</v>
      </c>
      <c r="B22">
        <v>1</v>
      </c>
      <c r="C22">
        <v>1971.5</v>
      </c>
      <c r="D22">
        <v>1</v>
      </c>
      <c r="E22">
        <v>1</v>
      </c>
      <c r="F22">
        <v>3</v>
      </c>
      <c r="G22" t="s">
        <v>338</v>
      </c>
      <c r="H22">
        <v>0</v>
      </c>
      <c r="I22">
        <v>0</v>
      </c>
      <c r="J22">
        <v>2</v>
      </c>
      <c r="K22">
        <v>1</v>
      </c>
      <c r="L22">
        <v>43</v>
      </c>
      <c r="M22">
        <v>46</v>
      </c>
      <c r="N22">
        <v>8.0000799999999997E-3</v>
      </c>
      <c r="O22" s="8">
        <v>9.3232300000000001E-3</v>
      </c>
      <c r="P22">
        <v>-0.15392700000000001</v>
      </c>
      <c r="Q22">
        <v>125</v>
      </c>
      <c r="R22">
        <v>113.896</v>
      </c>
      <c r="S22">
        <v>-0.153059</v>
      </c>
      <c r="T22">
        <v>0.47199999999999998</v>
      </c>
      <c r="U22">
        <v>0.54013</v>
      </c>
      <c r="V22" t="s">
        <v>226</v>
      </c>
      <c r="W22" t="s">
        <v>226</v>
      </c>
    </row>
    <row r="23" spans="1:23" ht="15" x14ac:dyDescent="0.25">
      <c r="A23">
        <v>1971</v>
      </c>
      <c r="B23">
        <v>1</v>
      </c>
      <c r="C23">
        <v>1971.5</v>
      </c>
      <c r="D23">
        <v>1</v>
      </c>
      <c r="E23">
        <v>1</v>
      </c>
      <c r="F23">
        <v>3</v>
      </c>
      <c r="G23" t="s">
        <v>338</v>
      </c>
      <c r="H23">
        <v>0</v>
      </c>
      <c r="I23">
        <v>0</v>
      </c>
      <c r="J23">
        <v>2</v>
      </c>
      <c r="K23">
        <v>1</v>
      </c>
      <c r="L23">
        <v>43</v>
      </c>
      <c r="M23">
        <v>48</v>
      </c>
      <c r="N23">
        <v>2.4E-2</v>
      </c>
      <c r="O23" s="8">
        <v>1.20789E-2</v>
      </c>
      <c r="P23">
        <v>1.22011</v>
      </c>
      <c r="Q23">
        <v>125</v>
      </c>
      <c r="R23">
        <v>113.896</v>
      </c>
      <c r="S23">
        <v>2.05979</v>
      </c>
      <c r="T23">
        <v>0.496</v>
      </c>
      <c r="U23">
        <v>0.55220899999999995</v>
      </c>
      <c r="V23" t="s">
        <v>226</v>
      </c>
      <c r="W23" t="s">
        <v>226</v>
      </c>
    </row>
    <row r="24" spans="1:23" ht="15" x14ac:dyDescent="0.25">
      <c r="A24">
        <v>1971</v>
      </c>
      <c r="B24">
        <v>1</v>
      </c>
      <c r="C24">
        <v>1971.5</v>
      </c>
      <c r="D24">
        <v>1</v>
      </c>
      <c r="E24">
        <v>1</v>
      </c>
      <c r="F24">
        <v>3</v>
      </c>
      <c r="G24" t="s">
        <v>338</v>
      </c>
      <c r="H24">
        <v>0</v>
      </c>
      <c r="I24">
        <v>0</v>
      </c>
      <c r="J24">
        <v>2</v>
      </c>
      <c r="K24">
        <v>1</v>
      </c>
      <c r="L24">
        <v>43</v>
      </c>
      <c r="M24">
        <v>50</v>
      </c>
      <c r="N24" s="8">
        <v>9.9999700000000006E-8</v>
      </c>
      <c r="O24" s="8">
        <v>1.5430599999999999E-2</v>
      </c>
      <c r="P24">
        <v>-1.3996500000000001</v>
      </c>
      <c r="Q24">
        <v>125</v>
      </c>
      <c r="R24">
        <v>113.896</v>
      </c>
      <c r="S24">
        <v>-1.49333E-4</v>
      </c>
      <c r="T24">
        <v>0.496</v>
      </c>
      <c r="U24">
        <v>0.56764000000000003</v>
      </c>
      <c r="V24" t="s">
        <v>226</v>
      </c>
      <c r="W24" t="s">
        <v>226</v>
      </c>
    </row>
    <row r="25" spans="1:23" ht="15" x14ac:dyDescent="0.25">
      <c r="A25">
        <v>1971</v>
      </c>
      <c r="B25">
        <v>1</v>
      </c>
      <c r="C25">
        <v>1971.5</v>
      </c>
      <c r="D25">
        <v>1</v>
      </c>
      <c r="E25">
        <v>1</v>
      </c>
      <c r="F25">
        <v>3</v>
      </c>
      <c r="G25" t="s">
        <v>338</v>
      </c>
      <c r="H25">
        <v>0</v>
      </c>
      <c r="I25">
        <v>0</v>
      </c>
      <c r="J25">
        <v>2</v>
      </c>
      <c r="K25">
        <v>1</v>
      </c>
      <c r="L25">
        <v>43</v>
      </c>
      <c r="M25">
        <v>52</v>
      </c>
      <c r="N25">
        <v>2.4E-2</v>
      </c>
      <c r="O25" s="8">
        <v>1.93879E-2</v>
      </c>
      <c r="P25">
        <v>0.37397599999999998</v>
      </c>
      <c r="Q25">
        <v>125</v>
      </c>
      <c r="R25">
        <v>113.896</v>
      </c>
      <c r="S25">
        <v>0.64022100000000004</v>
      </c>
      <c r="T25">
        <v>0.52</v>
      </c>
      <c r="U25">
        <v>0.58702799999999999</v>
      </c>
      <c r="V25" t="s">
        <v>226</v>
      </c>
      <c r="W25" t="s">
        <v>226</v>
      </c>
    </row>
    <row r="26" spans="1:23" ht="15" x14ac:dyDescent="0.25">
      <c r="A26">
        <v>1971</v>
      </c>
      <c r="B26">
        <v>1</v>
      </c>
      <c r="C26">
        <v>1971.5</v>
      </c>
      <c r="D26">
        <v>1</v>
      </c>
      <c r="E26">
        <v>1</v>
      </c>
      <c r="F26">
        <v>3</v>
      </c>
      <c r="G26" t="s">
        <v>338</v>
      </c>
      <c r="H26">
        <v>0</v>
      </c>
      <c r="I26">
        <v>0</v>
      </c>
      <c r="J26">
        <v>2</v>
      </c>
      <c r="K26">
        <v>1</v>
      </c>
      <c r="L26">
        <v>43</v>
      </c>
      <c r="M26">
        <v>54</v>
      </c>
      <c r="N26">
        <v>3.2000000000000001E-2</v>
      </c>
      <c r="O26" s="8">
        <v>2.3881200000000002E-2</v>
      </c>
      <c r="P26">
        <v>0.59452400000000005</v>
      </c>
      <c r="Q26">
        <v>125</v>
      </c>
      <c r="R26">
        <v>113.896</v>
      </c>
      <c r="S26">
        <v>1.17058</v>
      </c>
      <c r="T26">
        <v>0.55200000000000005</v>
      </c>
      <c r="U26">
        <v>0.61090900000000004</v>
      </c>
      <c r="V26" t="s">
        <v>226</v>
      </c>
      <c r="W26" t="s">
        <v>226</v>
      </c>
    </row>
    <row r="27" spans="1:23" ht="15" x14ac:dyDescent="0.25">
      <c r="A27">
        <v>1971</v>
      </c>
      <c r="B27">
        <v>1</v>
      </c>
      <c r="C27">
        <v>1971.5</v>
      </c>
      <c r="D27">
        <v>1</v>
      </c>
      <c r="E27">
        <v>1</v>
      </c>
      <c r="F27">
        <v>3</v>
      </c>
      <c r="G27" t="s">
        <v>338</v>
      </c>
      <c r="H27">
        <v>0</v>
      </c>
      <c r="I27">
        <v>0</v>
      </c>
      <c r="J27">
        <v>2</v>
      </c>
      <c r="K27">
        <v>1</v>
      </c>
      <c r="L27">
        <v>43</v>
      </c>
      <c r="M27">
        <v>56</v>
      </c>
      <c r="N27">
        <v>1.60001E-2</v>
      </c>
      <c r="O27" s="8">
        <v>2.8722500000000002E-2</v>
      </c>
      <c r="P27">
        <v>-0.85161500000000001</v>
      </c>
      <c r="Q27">
        <v>125</v>
      </c>
      <c r="R27">
        <v>113.896</v>
      </c>
      <c r="S27">
        <v>-1.17018</v>
      </c>
      <c r="T27">
        <v>0.56800099999999998</v>
      </c>
      <c r="U27">
        <v>0.63963099999999995</v>
      </c>
      <c r="V27" t="s">
        <v>226</v>
      </c>
      <c r="W27" t="s">
        <v>226</v>
      </c>
    </row>
    <row r="28" spans="1:23" ht="15" x14ac:dyDescent="0.25">
      <c r="A28">
        <v>1971</v>
      </c>
      <c r="B28">
        <v>1</v>
      </c>
      <c r="C28">
        <v>1971.5</v>
      </c>
      <c r="D28">
        <v>1</v>
      </c>
      <c r="E28">
        <v>1</v>
      </c>
      <c r="F28">
        <v>3</v>
      </c>
      <c r="G28" t="s">
        <v>338</v>
      </c>
      <c r="H28">
        <v>0</v>
      </c>
      <c r="I28">
        <v>0</v>
      </c>
      <c r="J28">
        <v>2</v>
      </c>
      <c r="K28">
        <v>1</v>
      </c>
      <c r="L28">
        <v>43</v>
      </c>
      <c r="M28">
        <v>58</v>
      </c>
      <c r="N28">
        <v>3.2000000000000001E-2</v>
      </c>
      <c r="O28" s="8">
        <v>3.35728E-2</v>
      </c>
      <c r="P28">
        <v>-9.7621899999999998E-2</v>
      </c>
      <c r="Q28">
        <v>125</v>
      </c>
      <c r="R28">
        <v>113.896</v>
      </c>
      <c r="S28">
        <v>-0.19192000000000001</v>
      </c>
      <c r="T28">
        <v>0.60000100000000001</v>
      </c>
      <c r="U28">
        <v>0.67320400000000002</v>
      </c>
      <c r="V28" t="s">
        <v>226</v>
      </c>
      <c r="W28" t="s">
        <v>226</v>
      </c>
    </row>
    <row r="29" spans="1:23" ht="15" x14ac:dyDescent="0.25">
      <c r="A29">
        <v>1971</v>
      </c>
      <c r="B29">
        <v>1</v>
      </c>
      <c r="C29">
        <v>1971.5</v>
      </c>
      <c r="D29">
        <v>1</v>
      </c>
      <c r="E29">
        <v>1</v>
      </c>
      <c r="F29">
        <v>3</v>
      </c>
      <c r="G29" t="s">
        <v>338</v>
      </c>
      <c r="H29">
        <v>0</v>
      </c>
      <c r="I29">
        <v>0</v>
      </c>
      <c r="J29">
        <v>2</v>
      </c>
      <c r="K29">
        <v>1</v>
      </c>
      <c r="L29">
        <v>43</v>
      </c>
      <c r="M29">
        <v>60</v>
      </c>
      <c r="N29">
        <v>0.04</v>
      </c>
      <c r="O29" s="8">
        <v>3.79303E-2</v>
      </c>
      <c r="P29">
        <v>0.121131</v>
      </c>
      <c r="Q29">
        <v>125</v>
      </c>
      <c r="R29">
        <v>113.896</v>
      </c>
      <c r="S29">
        <v>0.26563999999999999</v>
      </c>
      <c r="T29">
        <v>0.64000100000000004</v>
      </c>
      <c r="U29">
        <v>0.71113499999999996</v>
      </c>
      <c r="V29" t="s">
        <v>226</v>
      </c>
      <c r="W29" t="s">
        <v>226</v>
      </c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1:FB40"/>
  <sheetViews>
    <sheetView workbookViewId="0"/>
  </sheetViews>
  <sheetFormatPr defaultRowHeight="12.75" x14ac:dyDescent="0.2"/>
  <cols>
    <col min="1" max="16384" width="9.140625" style="1"/>
  </cols>
  <sheetData>
    <row r="11" spans="12:13" x14ac:dyDescent="0.2">
      <c r="L11" s="3"/>
      <c r="M11" s="3"/>
    </row>
    <row r="12" spans="12:13" x14ac:dyDescent="0.2">
      <c r="L12" s="3"/>
      <c r="M12" s="3"/>
    </row>
    <row r="13" spans="12:13" x14ac:dyDescent="0.2">
      <c r="M13" s="3"/>
    </row>
    <row r="14" spans="12:13" x14ac:dyDescent="0.2">
      <c r="M14" s="3"/>
    </row>
    <row r="15" spans="12:13" x14ac:dyDescent="0.2">
      <c r="M15" s="3"/>
    </row>
    <row r="16" spans="12:13" x14ac:dyDescent="0.2">
      <c r="M16" s="3"/>
    </row>
    <row r="17" spans="13:13" x14ac:dyDescent="0.2">
      <c r="M17" s="3"/>
    </row>
    <row r="18" spans="13:13" x14ac:dyDescent="0.2">
      <c r="M18" s="3"/>
    </row>
    <row r="19" spans="13:13" x14ac:dyDescent="0.2">
      <c r="M19" s="3"/>
    </row>
    <row r="20" spans="13:13" x14ac:dyDescent="0.2">
      <c r="M20" s="3"/>
    </row>
    <row r="21" spans="13:13" x14ac:dyDescent="0.2">
      <c r="M21" s="3"/>
    </row>
    <row r="34" spans="1:158" ht="15" x14ac:dyDescent="0.2">
      <c r="B34" s="18"/>
    </row>
    <row r="36" spans="1:158" x14ac:dyDescent="0.2">
      <c r="A36" s="6" t="e">
        <f t="shared" ref="A36" si="0">O36/M36*100</f>
        <v>#DIV/0!</v>
      </c>
      <c r="B36" s="6" t="e">
        <f t="shared" ref="B36" si="1">P36/N36*100</f>
        <v>#DIV/0!</v>
      </c>
    </row>
    <row r="37" spans="1:158" ht="15" x14ac:dyDescent="0.25">
      <c r="A37" s="1" t="s">
        <v>272</v>
      </c>
      <c r="B37" s="1" t="s">
        <v>271</v>
      </c>
      <c r="C37" t="s">
        <v>2</v>
      </c>
      <c r="D37" t="s">
        <v>23</v>
      </c>
      <c r="E37" t="s">
        <v>30</v>
      </c>
      <c r="F37" s="20" t="s">
        <v>1</v>
      </c>
      <c r="G37" t="s">
        <v>31</v>
      </c>
      <c r="H37" t="s">
        <v>289</v>
      </c>
      <c r="I37" t="s">
        <v>32</v>
      </c>
      <c r="J37" t="s">
        <v>33</v>
      </c>
      <c r="K37" s="20" t="s">
        <v>34</v>
      </c>
      <c r="L37" s="20" t="s">
        <v>35</v>
      </c>
      <c r="M37" s="20" t="s">
        <v>36</v>
      </c>
      <c r="N37" t="s">
        <v>37</v>
      </c>
      <c r="O37" s="20" t="s">
        <v>38</v>
      </c>
      <c r="P37" t="s">
        <v>39</v>
      </c>
      <c r="Q37" s="20" t="s">
        <v>40</v>
      </c>
      <c r="R37" s="20" t="s">
        <v>41</v>
      </c>
      <c r="S37" s="20" t="s">
        <v>42</v>
      </c>
      <c r="T37" t="s">
        <v>43</v>
      </c>
      <c r="U37" s="20" t="s">
        <v>44</v>
      </c>
      <c r="V37" t="s">
        <v>45</v>
      </c>
      <c r="W37" s="20" t="s">
        <v>46</v>
      </c>
      <c r="X37" s="20" t="s">
        <v>47</v>
      </c>
      <c r="Y37" s="20" t="s">
        <v>48</v>
      </c>
      <c r="Z37" s="20" t="s">
        <v>49</v>
      </c>
      <c r="AA37" s="20" t="s">
        <v>50</v>
      </c>
      <c r="AB37" s="20" t="s">
        <v>51</v>
      </c>
      <c r="AC37" s="20" t="s">
        <v>52</v>
      </c>
      <c r="AD37" s="20" t="s">
        <v>53</v>
      </c>
      <c r="AE37" s="20" t="s">
        <v>59</v>
      </c>
      <c r="AF37" s="20" t="s">
        <v>60</v>
      </c>
      <c r="AG37" s="20" t="s">
        <v>61</v>
      </c>
      <c r="AH37" s="20" t="s">
        <v>305</v>
      </c>
      <c r="AI37" s="20" t="s">
        <v>62</v>
      </c>
      <c r="AJ37" s="20" t="s">
        <v>63</v>
      </c>
      <c r="AK37" s="20" t="s">
        <v>64</v>
      </c>
      <c r="AL37" s="20" t="s">
        <v>65</v>
      </c>
      <c r="AM37" s="20" t="s">
        <v>66</v>
      </c>
      <c r="AN37" s="20" t="s">
        <v>67</v>
      </c>
      <c r="AO37" s="20" t="s">
        <v>68</v>
      </c>
      <c r="AP37" s="20" t="s">
        <v>69</v>
      </c>
      <c r="AQ37" s="20" t="s">
        <v>70</v>
      </c>
      <c r="AR37" s="20" t="s">
        <v>71</v>
      </c>
      <c r="AS37" s="20" t="s">
        <v>72</v>
      </c>
      <c r="AT37" s="20" t="s">
        <v>75</v>
      </c>
      <c r="AU37" s="20" t="s">
        <v>76</v>
      </c>
      <c r="AV37" s="20" t="s">
        <v>77</v>
      </c>
      <c r="AW37" s="20" t="s">
        <v>78</v>
      </c>
      <c r="AX37" s="20" t="s">
        <v>79</v>
      </c>
      <c r="AY37" s="20" t="s">
        <v>80</v>
      </c>
      <c r="AZ37" s="20" t="s">
        <v>81</v>
      </c>
      <c r="BA37" s="20" t="s">
        <v>82</v>
      </c>
      <c r="BB37" s="20" t="s">
        <v>83</v>
      </c>
      <c r="BC37" s="20" t="s">
        <v>342</v>
      </c>
      <c r="BD37" s="20" t="s">
        <v>84</v>
      </c>
      <c r="BE37" t="s">
        <v>85</v>
      </c>
      <c r="BF37" t="s">
        <v>86</v>
      </c>
      <c r="BG37" t="s">
        <v>87</v>
      </c>
      <c r="BH37" t="s">
        <v>88</v>
      </c>
      <c r="BI37" t="s">
        <v>89</v>
      </c>
      <c r="BJ37" t="s">
        <v>90</v>
      </c>
      <c r="BK37" t="s">
        <v>91</v>
      </c>
      <c r="BL37" t="s">
        <v>92</v>
      </c>
      <c r="BM37" t="s">
        <v>93</v>
      </c>
      <c r="BN37" t="s">
        <v>94</v>
      </c>
      <c r="BO37" t="s">
        <v>95</v>
      </c>
      <c r="BP37" t="s">
        <v>96</v>
      </c>
      <c r="BQ37" t="s">
        <v>97</v>
      </c>
      <c r="BR37" t="s">
        <v>98</v>
      </c>
      <c r="BS37" t="s">
        <v>99</v>
      </c>
      <c r="BT37" t="s">
        <v>100</v>
      </c>
      <c r="BU37" t="s">
        <v>101</v>
      </c>
      <c r="BV37" t="s">
        <v>102</v>
      </c>
      <c r="BW37" t="s">
        <v>103</v>
      </c>
      <c r="BX37" t="s">
        <v>104</v>
      </c>
      <c r="BY37" t="s">
        <v>105</v>
      </c>
      <c r="BZ37" t="s">
        <v>106</v>
      </c>
      <c r="CA37" t="s">
        <v>107</v>
      </c>
      <c r="CB37" t="s">
        <v>108</v>
      </c>
      <c r="CC37" t="s">
        <v>109</v>
      </c>
      <c r="CD37" t="s">
        <v>110</v>
      </c>
      <c r="CE37" t="s">
        <v>111</v>
      </c>
      <c r="CF37" t="s">
        <v>112</v>
      </c>
      <c r="CG37" t="s">
        <v>113</v>
      </c>
      <c r="CH37" t="s">
        <v>114</v>
      </c>
      <c r="CI37" t="s">
        <v>115</v>
      </c>
      <c r="CJ37" t="s">
        <v>116</v>
      </c>
      <c r="CK37" t="s">
        <v>117</v>
      </c>
      <c r="CL37" t="s">
        <v>118</v>
      </c>
      <c r="CM37" t="s">
        <v>119</v>
      </c>
      <c r="CN37" t="s">
        <v>120</v>
      </c>
      <c r="CO37" t="s">
        <v>121</v>
      </c>
      <c r="CP37" t="s">
        <v>122</v>
      </c>
      <c r="CQ37" t="s">
        <v>123</v>
      </c>
      <c r="CR37" t="s">
        <v>124</v>
      </c>
      <c r="CS37" t="s">
        <v>125</v>
      </c>
      <c r="CT37" t="s">
        <v>126</v>
      </c>
      <c r="CU37" t="s">
        <v>127</v>
      </c>
      <c r="CV37" t="s">
        <v>128</v>
      </c>
      <c r="CW37" t="s">
        <v>129</v>
      </c>
      <c r="CX37" t="s">
        <v>130</v>
      </c>
      <c r="CY37" t="s">
        <v>131</v>
      </c>
      <c r="CZ37" t="s">
        <v>132</v>
      </c>
      <c r="DA37" t="s">
        <v>133</v>
      </c>
      <c r="DB37" t="s">
        <v>134</v>
      </c>
      <c r="DC37" t="s">
        <v>135</v>
      </c>
      <c r="DD37" t="s">
        <v>136</v>
      </c>
      <c r="DE37" t="s">
        <v>137</v>
      </c>
      <c r="DF37" t="s">
        <v>138</v>
      </c>
      <c r="DG37" t="s">
        <v>139</v>
      </c>
      <c r="DH37" t="s">
        <v>140</v>
      </c>
      <c r="DI37" t="s">
        <v>141</v>
      </c>
      <c r="DJ37" t="s">
        <v>142</v>
      </c>
      <c r="DK37" t="s">
        <v>143</v>
      </c>
      <c r="DL37" t="s">
        <v>144</v>
      </c>
      <c r="DM37" t="s">
        <v>145</v>
      </c>
      <c r="DN37" t="s">
        <v>146</v>
      </c>
      <c r="DO37" t="s">
        <v>147</v>
      </c>
      <c r="DP37" s="2" t="s">
        <v>148</v>
      </c>
      <c r="DQ37" s="2" t="s">
        <v>149</v>
      </c>
      <c r="DR37" s="2" t="s">
        <v>150</v>
      </c>
      <c r="DS37" s="2" t="s">
        <v>151</v>
      </c>
      <c r="DT37" s="2" t="s">
        <v>152</v>
      </c>
      <c r="DU37" s="2" t="s">
        <v>153</v>
      </c>
      <c r="DV37" s="2" t="s">
        <v>154</v>
      </c>
      <c r="DW37" s="2" t="s">
        <v>155</v>
      </c>
      <c r="DX37" s="2" t="s">
        <v>156</v>
      </c>
      <c r="DY37" s="2" t="s">
        <v>157</v>
      </c>
      <c r="DZ37" s="2" t="s">
        <v>158</v>
      </c>
      <c r="EA37" s="2" t="s">
        <v>159</v>
      </c>
      <c r="EB37" s="2" t="s">
        <v>160</v>
      </c>
      <c r="EC37" s="2" t="s">
        <v>161</v>
      </c>
      <c r="ED37" s="2" t="s">
        <v>162</v>
      </c>
      <c r="EE37" s="2" t="s">
        <v>163</v>
      </c>
      <c r="EF37" s="2" t="s">
        <v>164</v>
      </c>
      <c r="EG37" s="2" t="s">
        <v>165</v>
      </c>
      <c r="EH37" s="2" t="s">
        <v>166</v>
      </c>
      <c r="EI37" s="2" t="s">
        <v>167</v>
      </c>
      <c r="EJ37" s="2" t="s">
        <v>168</v>
      </c>
      <c r="EK37" s="2" t="s">
        <v>169</v>
      </c>
      <c r="EL37" s="2" t="s">
        <v>170</v>
      </c>
      <c r="EM37" s="2" t="s">
        <v>171</v>
      </c>
      <c r="EN37" s="2" t="s">
        <v>172</v>
      </c>
      <c r="EO37" s="2" t="s">
        <v>173</v>
      </c>
      <c r="EP37" s="2" t="s">
        <v>174</v>
      </c>
      <c r="EQ37" s="2" t="s">
        <v>175</v>
      </c>
      <c r="ER37" s="2" t="s">
        <v>176</v>
      </c>
      <c r="ES37" s="2" t="s">
        <v>177</v>
      </c>
      <c r="ET37" s="2" t="s">
        <v>178</v>
      </c>
      <c r="EU37" s="2" t="s">
        <v>179</v>
      </c>
      <c r="EV37" s="2" t="s">
        <v>180</v>
      </c>
      <c r="EW37" s="2" t="s">
        <v>181</v>
      </c>
      <c r="EX37" s="2" t="s">
        <v>182</v>
      </c>
      <c r="EY37" s="2" t="s">
        <v>183</v>
      </c>
      <c r="EZ37" s="2" t="s">
        <v>184</v>
      </c>
      <c r="FA37" s="2" t="s">
        <v>185</v>
      </c>
      <c r="FB37" s="2" t="s">
        <v>186</v>
      </c>
    </row>
    <row r="38" spans="1:158" ht="15" x14ac:dyDescent="0.25">
      <c r="A38" s="6">
        <f t="shared" ref="A38:A40" si="2">O38/M38*100</f>
        <v>10</v>
      </c>
      <c r="B38" s="6">
        <f t="shared" ref="B38:B40" si="3">P38/N38*100</f>
        <v>10</v>
      </c>
      <c r="C38">
        <v>1</v>
      </c>
      <c r="D38">
        <v>1</v>
      </c>
      <c r="E38">
        <v>1</v>
      </c>
      <c r="F38" s="20">
        <v>1</v>
      </c>
      <c r="G38">
        <v>1</v>
      </c>
      <c r="H38">
        <v>1</v>
      </c>
      <c r="I38">
        <v>0</v>
      </c>
      <c r="J38">
        <v>0</v>
      </c>
      <c r="K38" s="20">
        <v>0.5</v>
      </c>
      <c r="L38" s="20">
        <v>0.1</v>
      </c>
      <c r="M38" s="20">
        <v>21.655200000000001</v>
      </c>
      <c r="N38">
        <v>25.296199999999999</v>
      </c>
      <c r="O38" s="20">
        <v>2.1655199999999999</v>
      </c>
      <c r="P38">
        <v>2.52962</v>
      </c>
      <c r="Q38" s="20">
        <v>7.5051000000000007E-2</v>
      </c>
      <c r="R38" s="20">
        <v>0.126164</v>
      </c>
      <c r="S38" s="20">
        <v>2.8030500000000001E-4</v>
      </c>
      <c r="T38">
        <v>0</v>
      </c>
      <c r="U38" s="20">
        <v>0</v>
      </c>
      <c r="V38">
        <v>26.3279</v>
      </c>
      <c r="W38" s="20">
        <v>0.14377100000000001</v>
      </c>
      <c r="X38" s="20">
        <v>0.14377100000000001</v>
      </c>
      <c r="Y38" s="20">
        <v>28.188199999999998</v>
      </c>
      <c r="Z38" s="20">
        <v>0.17957899999999999</v>
      </c>
      <c r="AA38" s="20">
        <v>0.17957899999999999</v>
      </c>
      <c r="AB38" s="20">
        <v>25.296199999999999</v>
      </c>
      <c r="AC38" s="20">
        <v>0.126164</v>
      </c>
      <c r="AD38" s="20">
        <v>0.126164</v>
      </c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</row>
    <row r="39" spans="1:158" ht="15" x14ac:dyDescent="0.25">
      <c r="A39" s="6">
        <f t="shared" si="2"/>
        <v>10</v>
      </c>
      <c r="B39" s="6">
        <f t="shared" si="3"/>
        <v>10</v>
      </c>
      <c r="C39">
        <v>1</v>
      </c>
      <c r="D39">
        <v>1</v>
      </c>
      <c r="E39">
        <v>1</v>
      </c>
      <c r="F39" s="20">
        <v>1</v>
      </c>
      <c r="G39">
        <v>1</v>
      </c>
      <c r="H39">
        <v>1</v>
      </c>
      <c r="I39">
        <v>1</v>
      </c>
      <c r="J39">
        <v>1</v>
      </c>
      <c r="K39" s="20">
        <v>1.5</v>
      </c>
      <c r="L39" s="20">
        <v>0.1</v>
      </c>
      <c r="M39" s="20">
        <v>28.678699999999999</v>
      </c>
      <c r="N39">
        <v>31.821000000000002</v>
      </c>
      <c r="O39" s="20">
        <v>2.8678699999999999</v>
      </c>
      <c r="P39">
        <v>3.1821000000000002</v>
      </c>
      <c r="Q39" s="20">
        <v>0.191941</v>
      </c>
      <c r="R39" s="20">
        <v>0.27175199999999999</v>
      </c>
      <c r="S39" s="20">
        <v>1.80715E-3</v>
      </c>
      <c r="T39">
        <v>1</v>
      </c>
      <c r="U39" s="20">
        <v>4.3863099999999998E-4</v>
      </c>
      <c r="V39">
        <v>33.374499999999998</v>
      </c>
      <c r="W39" s="20">
        <v>0.31749899999999998</v>
      </c>
      <c r="X39" s="20">
        <v>0.31749899999999998</v>
      </c>
      <c r="Y39" s="20">
        <v>34.855600000000003</v>
      </c>
      <c r="Z39" s="20">
        <v>0.362979</v>
      </c>
      <c r="AA39" s="20">
        <v>0.362979</v>
      </c>
      <c r="AB39" s="20">
        <v>31.821000000000002</v>
      </c>
      <c r="AC39" s="20">
        <v>0.27175199999999999</v>
      </c>
      <c r="AD39" s="20">
        <v>0.27175199999999999</v>
      </c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</row>
    <row r="40" spans="1:158" ht="15" x14ac:dyDescent="0.25">
      <c r="A40" s="6">
        <f t="shared" si="2"/>
        <v>10</v>
      </c>
      <c r="B40" s="6">
        <f t="shared" si="3"/>
        <v>10</v>
      </c>
      <c r="C40">
        <v>1</v>
      </c>
      <c r="D40">
        <v>1</v>
      </c>
      <c r="E40">
        <v>1</v>
      </c>
      <c r="F40" s="20">
        <v>1</v>
      </c>
      <c r="G40">
        <v>1</v>
      </c>
      <c r="H40">
        <v>1</v>
      </c>
      <c r="I40">
        <v>2</v>
      </c>
      <c r="J40">
        <v>2</v>
      </c>
      <c r="K40" s="20">
        <v>2.5</v>
      </c>
      <c r="L40" s="20">
        <v>0.1</v>
      </c>
      <c r="M40" s="20">
        <v>34.740200000000002</v>
      </c>
      <c r="N40">
        <v>37.452199999999998</v>
      </c>
      <c r="O40" s="20">
        <v>3.4740199999999999</v>
      </c>
      <c r="P40">
        <v>3.7452200000000002</v>
      </c>
      <c r="Q40" s="20">
        <v>0.36447600000000002</v>
      </c>
      <c r="R40" s="20">
        <v>0.46866799999999997</v>
      </c>
      <c r="S40" s="20">
        <v>9.1229399999999995E-3</v>
      </c>
      <c r="T40">
        <v>1</v>
      </c>
      <c r="U40" s="20">
        <v>4.3748499999999996E-3</v>
      </c>
      <c r="V40">
        <v>39.439900000000002</v>
      </c>
      <c r="W40" s="20">
        <v>0.55447100000000005</v>
      </c>
      <c r="X40" s="20">
        <v>0.55447100000000005</v>
      </c>
      <c r="Y40" s="20">
        <v>39.337800000000001</v>
      </c>
      <c r="Z40" s="20">
        <v>0.54459800000000003</v>
      </c>
      <c r="AA40" s="20">
        <v>0.54459800000000003</v>
      </c>
      <c r="AB40" s="20">
        <v>37.452199999999998</v>
      </c>
      <c r="AC40" s="20">
        <v>0.46866799999999997</v>
      </c>
      <c r="AD40" s="20">
        <v>0.46866799999999997</v>
      </c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/>
      <c r="BF40"/>
      <c r="BG40"/>
      <c r="BH40"/>
      <c r="BI40"/>
      <c r="BJ40"/>
      <c r="BK40"/>
      <c r="BL40"/>
      <c r="BM40"/>
      <c r="BN40"/>
    </row>
  </sheetData>
  <pageMargins left="0.75" right="0.75" top="1" bottom="1" header="0.5" footer="0.5"/>
  <headerFooter alignWithMargins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CB7"/>
  <sheetViews>
    <sheetView workbookViewId="0"/>
  </sheetViews>
  <sheetFormatPr defaultRowHeight="15" x14ac:dyDescent="0.25"/>
  <sheetData>
    <row r="1" spans="1:80" s="20" customFormat="1" x14ac:dyDescent="0.25">
      <c r="A1" t="s">
        <v>196</v>
      </c>
      <c r="B1"/>
      <c r="C1"/>
      <c r="H1"/>
      <c r="N1"/>
      <c r="T1"/>
      <c r="AC1"/>
      <c r="AD1"/>
      <c r="AE1"/>
      <c r="AG1"/>
      <c r="AH1"/>
      <c r="AI1"/>
      <c r="AJ1"/>
      <c r="AK1"/>
      <c r="AL1"/>
      <c r="AM1"/>
      <c r="AN1"/>
      <c r="AO1"/>
      <c r="AP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</row>
    <row r="2" spans="1:80" s="20" customFormat="1" x14ac:dyDescent="0.25">
      <c r="A2" t="s">
        <v>197</v>
      </c>
      <c r="B2"/>
      <c r="C2"/>
      <c r="H2"/>
      <c r="N2"/>
      <c r="T2"/>
      <c r="AC2"/>
      <c r="AD2"/>
      <c r="AE2"/>
      <c r="AG2"/>
      <c r="AH2"/>
      <c r="AI2"/>
      <c r="AJ2"/>
      <c r="AK2"/>
      <c r="AL2"/>
      <c r="AM2"/>
      <c r="AN2"/>
      <c r="AO2"/>
      <c r="AP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</row>
    <row r="3" spans="1:80" s="20" customFormat="1" x14ac:dyDescent="0.25">
      <c r="A3" t="s">
        <v>198</v>
      </c>
      <c r="B3"/>
      <c r="C3"/>
      <c r="H3"/>
      <c r="N3"/>
      <c r="T3"/>
      <c r="AC3"/>
      <c r="AD3"/>
      <c r="AE3"/>
      <c r="AG3"/>
      <c r="AH3"/>
      <c r="AI3"/>
      <c r="AJ3"/>
      <c r="AK3"/>
      <c r="AL3"/>
      <c r="AM3"/>
      <c r="AN3"/>
      <c r="AO3"/>
      <c r="AP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</row>
    <row r="4" spans="1:80" s="20" customFormat="1" x14ac:dyDescent="0.25">
      <c r="A4" t="s">
        <v>199</v>
      </c>
      <c r="B4"/>
      <c r="C4"/>
      <c r="H4"/>
      <c r="N4"/>
      <c r="T4"/>
      <c r="AC4"/>
      <c r="AD4"/>
      <c r="AE4"/>
      <c r="AG4"/>
      <c r="AH4"/>
      <c r="AI4"/>
      <c r="AJ4"/>
      <c r="AK4"/>
      <c r="AL4"/>
      <c r="AM4"/>
      <c r="AN4"/>
      <c r="AO4"/>
      <c r="AP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</row>
    <row r="5" spans="1:80" s="20" customFormat="1" x14ac:dyDescent="0.25">
      <c r="A5" t="s">
        <v>350</v>
      </c>
      <c r="B5" t="s">
        <v>397</v>
      </c>
      <c r="C5"/>
      <c r="H5"/>
      <c r="N5"/>
      <c r="T5"/>
      <c r="AC5"/>
      <c r="AD5"/>
      <c r="AE5"/>
      <c r="AG5"/>
      <c r="AH5"/>
      <c r="AI5"/>
      <c r="AJ5"/>
      <c r="AK5"/>
      <c r="AL5"/>
      <c r="AM5"/>
      <c r="AN5"/>
      <c r="AO5"/>
      <c r="AP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</row>
    <row r="6" spans="1:80" s="20" customFormat="1" x14ac:dyDescent="0.25">
      <c r="A6" t="s">
        <v>195</v>
      </c>
      <c r="B6" t="s">
        <v>0</v>
      </c>
      <c r="C6" t="s">
        <v>191</v>
      </c>
      <c r="D6" s="20" t="s">
        <v>192</v>
      </c>
      <c r="E6" s="20" t="s">
        <v>193</v>
      </c>
      <c r="F6" s="20">
        <v>11</v>
      </c>
      <c r="G6" s="20">
        <v>13</v>
      </c>
      <c r="H6">
        <v>15</v>
      </c>
      <c r="I6" s="20">
        <v>17</v>
      </c>
      <c r="J6" s="20">
        <v>19</v>
      </c>
      <c r="K6" s="20">
        <v>21</v>
      </c>
      <c r="L6" s="20">
        <v>23</v>
      </c>
      <c r="M6" s="20">
        <v>25</v>
      </c>
      <c r="N6">
        <v>27</v>
      </c>
      <c r="O6" s="20">
        <v>29</v>
      </c>
      <c r="P6" s="20">
        <v>31</v>
      </c>
      <c r="Q6" s="20">
        <v>33</v>
      </c>
      <c r="R6" s="20">
        <v>35</v>
      </c>
      <c r="S6" s="20">
        <v>37</v>
      </c>
      <c r="T6">
        <v>39</v>
      </c>
      <c r="U6" s="20">
        <v>41</v>
      </c>
      <c r="V6" s="20">
        <v>43</v>
      </c>
      <c r="W6" s="20">
        <v>45</v>
      </c>
      <c r="X6" s="20">
        <v>47</v>
      </c>
      <c r="Y6" s="20">
        <v>49</v>
      </c>
      <c r="Z6" s="20">
        <v>51</v>
      </c>
      <c r="AA6" s="20">
        <v>53</v>
      </c>
      <c r="AB6" s="20">
        <v>55</v>
      </c>
      <c r="AC6">
        <v>57</v>
      </c>
      <c r="AD6">
        <v>59</v>
      </c>
      <c r="AE6">
        <v>61</v>
      </c>
      <c r="AF6" s="20">
        <v>63</v>
      </c>
      <c r="AG6">
        <v>65</v>
      </c>
      <c r="AH6">
        <v>67</v>
      </c>
      <c r="AI6">
        <v>69</v>
      </c>
      <c r="AJ6">
        <v>71</v>
      </c>
      <c r="AK6">
        <v>73</v>
      </c>
      <c r="AL6">
        <v>75</v>
      </c>
      <c r="AM6">
        <v>77</v>
      </c>
      <c r="AN6">
        <v>79</v>
      </c>
      <c r="AO6">
        <v>81</v>
      </c>
      <c r="AP6">
        <v>83</v>
      </c>
      <c r="AQ6" s="20">
        <v>85</v>
      </c>
      <c r="AR6" s="20">
        <v>87</v>
      </c>
      <c r="AS6" s="20">
        <v>89</v>
      </c>
      <c r="AT6" s="20">
        <v>91</v>
      </c>
      <c r="AU6" s="20">
        <v>93</v>
      </c>
      <c r="AV6" s="20">
        <v>95</v>
      </c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</row>
    <row r="7" spans="1:80" s="20" customFormat="1" x14ac:dyDescent="0.25">
      <c r="A7" t="s">
        <v>194</v>
      </c>
      <c r="B7">
        <v>1</v>
      </c>
      <c r="C7">
        <v>1968</v>
      </c>
      <c r="D7" s="20">
        <v>1</v>
      </c>
      <c r="E7" s="20" t="s">
        <v>398</v>
      </c>
      <c r="F7" s="20">
        <v>1.30831E-3</v>
      </c>
      <c r="G7" s="20">
        <v>1.7851500000000001E-3</v>
      </c>
      <c r="H7">
        <v>2.4353600000000001E-3</v>
      </c>
      <c r="I7" s="20">
        <v>3.32161E-3</v>
      </c>
      <c r="J7" s="20">
        <v>4.5289199999999996E-3</v>
      </c>
      <c r="K7" s="20">
        <v>6.1723300000000002E-3</v>
      </c>
      <c r="L7" s="20">
        <v>8.4070499999999992E-3</v>
      </c>
      <c r="M7" s="20">
        <v>1.14415E-2</v>
      </c>
      <c r="N7">
        <v>1.55541E-2</v>
      </c>
      <c r="O7" s="20">
        <v>2.1113400000000001E-2</v>
      </c>
      <c r="P7" s="20">
        <v>2.86019E-2</v>
      </c>
      <c r="Q7" s="20">
        <v>3.8641700000000001E-2</v>
      </c>
      <c r="R7" s="20">
        <v>5.2016699999999999E-2</v>
      </c>
      <c r="S7" s="20">
        <v>6.9685800000000006E-2</v>
      </c>
      <c r="T7">
        <v>9.2769299999999999E-2</v>
      </c>
      <c r="U7" s="20">
        <v>0.122493</v>
      </c>
      <c r="V7" s="20">
        <v>0.16005900000000001</v>
      </c>
      <c r="W7" s="20">
        <v>0.20643600000000001</v>
      </c>
      <c r="X7" s="20">
        <v>0.26205800000000001</v>
      </c>
      <c r="Y7" s="20">
        <v>0.32650099999999999</v>
      </c>
      <c r="Z7" s="20">
        <v>0.39823900000000001</v>
      </c>
      <c r="AA7" s="20">
        <v>0.47463100000000003</v>
      </c>
      <c r="AB7" s="20">
        <v>0.55222899999999997</v>
      </c>
      <c r="AC7">
        <v>0.62736400000000003</v>
      </c>
      <c r="AD7">
        <v>0.69681400000000004</v>
      </c>
      <c r="AE7">
        <v>0.75830600000000004</v>
      </c>
      <c r="AF7" s="20">
        <v>0.81071499999999996</v>
      </c>
      <c r="AG7">
        <v>0.85394800000000004</v>
      </c>
      <c r="AH7">
        <v>0.88866299999999998</v>
      </c>
      <c r="AI7">
        <v>0.91593800000000003</v>
      </c>
      <c r="AJ7">
        <v>0.93700600000000001</v>
      </c>
      <c r="AK7">
        <v>0.95306400000000002</v>
      </c>
      <c r="AL7">
        <v>0.96518000000000004</v>
      </c>
      <c r="AM7">
        <v>0.97425399999999995</v>
      </c>
      <c r="AN7">
        <v>0.98100900000000002</v>
      </c>
      <c r="AO7">
        <v>0.98601799999999995</v>
      </c>
      <c r="AP7">
        <v>0.98971900000000002</v>
      </c>
      <c r="AQ7" s="20">
        <v>0.992448</v>
      </c>
      <c r="AR7" s="20">
        <v>0.99445700000000004</v>
      </c>
      <c r="AS7" s="20">
        <v>0.99593299999999996</v>
      </c>
      <c r="AT7" s="20">
        <v>0.99701799999999996</v>
      </c>
      <c r="AU7" s="20">
        <v>0.99781399999999998</v>
      </c>
      <c r="AV7" s="20">
        <v>0.99839699999999998</v>
      </c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</row>
  </sheetData>
  <hyperlinks>
    <hyperlink ref="K3" location="Main_List" display="Return to Main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View_Selex_Data">
                <anchor moveWithCells="1" sizeWithCells="1">
                  <from>
                    <xdr:col>5</xdr:col>
                    <xdr:colOff>19050</xdr:colOff>
                    <xdr:row>0</xdr:row>
                    <xdr:rowOff>180975</xdr:rowOff>
                  </from>
                  <to>
                    <xdr:col>8</xdr:col>
                    <xdr:colOff>323850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C7"/>
  <sheetViews>
    <sheetView workbookViewId="0"/>
  </sheetViews>
  <sheetFormatPr defaultRowHeight="15" x14ac:dyDescent="0.25"/>
  <sheetData>
    <row r="1" spans="1:133" ht="240.75" customHeight="1" x14ac:dyDescent="0.25">
      <c r="L1" s="18"/>
    </row>
    <row r="2" spans="1:133" x14ac:dyDescent="0.25">
      <c r="A2" t="s">
        <v>195</v>
      </c>
      <c r="B2" s="20" t="s">
        <v>0</v>
      </c>
      <c r="C2" t="s">
        <v>191</v>
      </c>
      <c r="D2" t="s">
        <v>192</v>
      </c>
      <c r="E2" t="s">
        <v>193</v>
      </c>
      <c r="F2" s="8">
        <v>1.5</v>
      </c>
      <c r="G2" s="8">
        <v>2.5</v>
      </c>
      <c r="H2" s="8">
        <v>3.5</v>
      </c>
      <c r="I2" s="8">
        <v>4.5</v>
      </c>
      <c r="J2" s="8">
        <v>5.5</v>
      </c>
      <c r="K2" s="8">
        <v>6.5</v>
      </c>
      <c r="L2" s="8">
        <v>7.5</v>
      </c>
      <c r="M2" s="8">
        <v>8.5</v>
      </c>
      <c r="N2" s="8">
        <v>9.5</v>
      </c>
      <c r="O2">
        <v>10.5</v>
      </c>
      <c r="P2">
        <v>11.5</v>
      </c>
      <c r="Q2">
        <v>12.5</v>
      </c>
      <c r="R2">
        <v>13.5</v>
      </c>
      <c r="S2">
        <v>14.5</v>
      </c>
      <c r="T2">
        <v>15.5</v>
      </c>
      <c r="U2">
        <v>16.5</v>
      </c>
      <c r="V2">
        <v>17.5</v>
      </c>
      <c r="W2">
        <v>18.5</v>
      </c>
      <c r="X2">
        <v>19.5</v>
      </c>
      <c r="Y2">
        <v>20.5</v>
      </c>
      <c r="Z2">
        <v>21.5</v>
      </c>
      <c r="AA2" s="20">
        <v>22.5</v>
      </c>
      <c r="AB2" s="20">
        <v>23.5</v>
      </c>
      <c r="AC2" s="20">
        <v>24.5</v>
      </c>
      <c r="AD2" s="20">
        <v>25.5</v>
      </c>
      <c r="AE2" s="20">
        <v>26.5</v>
      </c>
      <c r="AF2" s="20">
        <v>27.5</v>
      </c>
      <c r="AG2" s="20">
        <v>28.5</v>
      </c>
      <c r="AH2" s="20">
        <v>29.5</v>
      </c>
      <c r="AI2" s="20">
        <v>30.5</v>
      </c>
      <c r="AJ2" s="20">
        <v>31.5</v>
      </c>
      <c r="AK2" s="20">
        <v>32.5</v>
      </c>
      <c r="AL2" s="20">
        <v>33.5</v>
      </c>
      <c r="AM2" s="20">
        <v>34.5</v>
      </c>
      <c r="AN2" s="20">
        <v>35.5</v>
      </c>
      <c r="AO2" s="20">
        <v>36.5</v>
      </c>
      <c r="AP2" s="20">
        <v>37.5</v>
      </c>
      <c r="AQ2" s="20">
        <v>38.5</v>
      </c>
      <c r="AR2" s="20">
        <v>39.5</v>
      </c>
      <c r="AS2" s="20">
        <v>41</v>
      </c>
      <c r="AT2" s="20">
        <v>43</v>
      </c>
      <c r="AU2" s="20">
        <v>45</v>
      </c>
      <c r="AV2" s="20">
        <v>47</v>
      </c>
      <c r="AW2" s="20">
        <v>49</v>
      </c>
      <c r="AX2" s="20">
        <v>51</v>
      </c>
      <c r="AY2" s="20">
        <v>53</v>
      </c>
      <c r="AZ2" s="20">
        <v>55</v>
      </c>
      <c r="BA2" s="20">
        <v>57</v>
      </c>
      <c r="BB2" s="20">
        <v>59</v>
      </c>
      <c r="BC2">
        <v>61</v>
      </c>
      <c r="BD2">
        <v>63</v>
      </c>
      <c r="BE2">
        <v>65</v>
      </c>
      <c r="BF2">
        <v>67</v>
      </c>
      <c r="BG2">
        <v>69</v>
      </c>
      <c r="BH2">
        <v>71</v>
      </c>
      <c r="BI2">
        <v>73</v>
      </c>
      <c r="BJ2">
        <v>75</v>
      </c>
      <c r="BK2">
        <v>77</v>
      </c>
      <c r="BL2">
        <v>79</v>
      </c>
      <c r="BM2">
        <v>81</v>
      </c>
      <c r="BN2">
        <v>83</v>
      </c>
      <c r="BO2">
        <v>85</v>
      </c>
      <c r="BP2">
        <v>87</v>
      </c>
      <c r="BQ2">
        <v>89</v>
      </c>
      <c r="BR2">
        <v>91</v>
      </c>
      <c r="BS2">
        <v>93</v>
      </c>
      <c r="BT2">
        <v>95</v>
      </c>
      <c r="BU2">
        <v>97</v>
      </c>
      <c r="BV2">
        <v>99</v>
      </c>
      <c r="BW2">
        <v>105</v>
      </c>
      <c r="BX2">
        <v>115</v>
      </c>
      <c r="BY2">
        <v>125</v>
      </c>
      <c r="BZ2">
        <v>135</v>
      </c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</row>
    <row r="3" spans="1:133" x14ac:dyDescent="0.25">
      <c r="A3" t="s">
        <v>194</v>
      </c>
      <c r="B3" s="20">
        <v>1</v>
      </c>
      <c r="C3">
        <v>1978</v>
      </c>
      <c r="D3">
        <v>1</v>
      </c>
      <c r="E3" t="s">
        <v>368</v>
      </c>
      <c r="F3" s="8">
        <v>6.1626800000000002E-8</v>
      </c>
      <c r="G3" s="8">
        <v>1.7118600000000001E-7</v>
      </c>
      <c r="H3" s="8">
        <v>3.3552399999999998E-7</v>
      </c>
      <c r="I3" s="8">
        <v>5.5464100000000002E-7</v>
      </c>
      <c r="J3" s="8">
        <v>1.1675399999999999E-3</v>
      </c>
      <c r="K3" s="8">
        <v>2.9641899999999998E-3</v>
      </c>
      <c r="L3" s="8">
        <v>5.6727399999999999E-3</v>
      </c>
      <c r="M3" s="8">
        <v>9.6704900000000003E-3</v>
      </c>
      <c r="N3" s="8">
        <v>1.5446400000000001E-2</v>
      </c>
      <c r="O3" s="8">
        <v>2.3613599999999998E-2</v>
      </c>
      <c r="P3" s="8">
        <v>3.4913100000000002E-2</v>
      </c>
      <c r="Q3" s="8">
        <v>5.0205300000000001E-2</v>
      </c>
      <c r="R3" s="8">
        <v>7.04433E-2</v>
      </c>
      <c r="S3" s="8">
        <v>9.6624199999999993E-2</v>
      </c>
      <c r="T3">
        <v>0.129717</v>
      </c>
      <c r="U3">
        <v>0.17056499999999999</v>
      </c>
      <c r="V3">
        <v>0.21976999999999999</v>
      </c>
      <c r="W3">
        <v>0.27756700000000001</v>
      </c>
      <c r="X3">
        <v>0.343698</v>
      </c>
      <c r="Y3">
        <v>0.41730499999999998</v>
      </c>
      <c r="Z3">
        <v>0.49686599999999997</v>
      </c>
      <c r="AA3" s="20">
        <v>0.580179</v>
      </c>
      <c r="AB3" s="20">
        <v>0.66441700000000004</v>
      </c>
      <c r="AC3" s="20">
        <v>0.74626099999999995</v>
      </c>
      <c r="AD3" s="20">
        <v>0.82209200000000004</v>
      </c>
      <c r="AE3" s="20">
        <v>0.88825500000000002</v>
      </c>
      <c r="AF3" s="20">
        <v>0.94133900000000004</v>
      </c>
      <c r="AG3" s="20">
        <v>0.97847499999999998</v>
      </c>
      <c r="AH3" s="20">
        <v>0.99758899999999995</v>
      </c>
      <c r="AI3" s="20">
        <v>0.99999700000000002</v>
      </c>
      <c r="AJ3" s="20">
        <v>1</v>
      </c>
      <c r="AK3" s="20">
        <v>1</v>
      </c>
      <c r="AL3" s="20">
        <v>1</v>
      </c>
      <c r="AM3" s="20">
        <v>1</v>
      </c>
      <c r="AN3" s="20">
        <v>1</v>
      </c>
      <c r="AO3" s="20">
        <v>1</v>
      </c>
      <c r="AP3" s="20">
        <v>1</v>
      </c>
      <c r="AQ3" s="20">
        <v>1</v>
      </c>
      <c r="AR3" s="20">
        <v>1</v>
      </c>
      <c r="AS3" s="20">
        <v>1</v>
      </c>
      <c r="AT3" s="20">
        <v>1</v>
      </c>
      <c r="AU3" s="20">
        <v>1</v>
      </c>
      <c r="AV3" s="20">
        <v>1</v>
      </c>
      <c r="AW3" s="20">
        <v>1</v>
      </c>
      <c r="AX3" s="20">
        <v>1</v>
      </c>
      <c r="AY3" s="20">
        <v>0.99999700000000002</v>
      </c>
      <c r="AZ3" s="20">
        <v>0.990788</v>
      </c>
      <c r="BA3" s="20">
        <v>0.95788499999999999</v>
      </c>
      <c r="BB3" s="20">
        <v>0.90361599999999997</v>
      </c>
      <c r="BC3">
        <v>0.83205399999999996</v>
      </c>
      <c r="BD3">
        <v>0.74828499999999998</v>
      </c>
      <c r="BE3">
        <v>0.65781599999999996</v>
      </c>
      <c r="BF3">
        <v>0.56598300000000001</v>
      </c>
      <c r="BG3">
        <v>0.47745300000000002</v>
      </c>
      <c r="BH3">
        <v>0.39588000000000001</v>
      </c>
      <c r="BI3">
        <v>0.323737</v>
      </c>
      <c r="BJ3">
        <v>0.26231700000000002</v>
      </c>
      <c r="BK3">
        <v>0.21187300000000001</v>
      </c>
      <c r="BL3">
        <v>0.171843</v>
      </c>
      <c r="BM3">
        <v>0.14111399999999999</v>
      </c>
      <c r="BN3">
        <v>0.118272</v>
      </c>
      <c r="BO3">
        <v>0.10181900000000001</v>
      </c>
      <c r="BP3">
        <v>9.0328000000000006E-2</v>
      </c>
      <c r="BQ3">
        <v>8.2542199999999996E-2</v>
      </c>
      <c r="BR3">
        <v>7.7422500000000005E-2</v>
      </c>
      <c r="BS3">
        <v>7.4153999999999998E-2</v>
      </c>
      <c r="BT3">
        <v>7.2127499999999997E-2</v>
      </c>
      <c r="BU3">
        <v>7.0906999999999998E-2</v>
      </c>
      <c r="BV3">
        <v>7.01928E-2</v>
      </c>
      <c r="BW3">
        <v>6.9441600000000006E-2</v>
      </c>
      <c r="BX3">
        <v>6.9319599999999995E-2</v>
      </c>
      <c r="BY3">
        <v>6.9316799999999998E-2</v>
      </c>
      <c r="BZ3">
        <v>6.9316699999999995E-2</v>
      </c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</row>
    <row r="4" spans="1:133" x14ac:dyDescent="0.25">
      <c r="A4" t="s">
        <v>194</v>
      </c>
      <c r="B4" s="20">
        <v>1</v>
      </c>
      <c r="C4">
        <v>1998</v>
      </c>
      <c r="D4">
        <v>1</v>
      </c>
      <c r="E4" t="s">
        <v>369</v>
      </c>
      <c r="F4" s="8">
        <v>6.1626800000000002E-8</v>
      </c>
      <c r="G4" s="8">
        <v>1.7118600000000001E-7</v>
      </c>
      <c r="H4" s="8">
        <v>3.3552399999999998E-7</v>
      </c>
      <c r="I4" s="8">
        <v>5.5464100000000002E-7</v>
      </c>
      <c r="J4" s="8">
        <v>1.1675399999999999E-3</v>
      </c>
      <c r="K4" s="8">
        <v>2.9641899999999998E-3</v>
      </c>
      <c r="L4" s="8">
        <v>5.6727399999999999E-3</v>
      </c>
      <c r="M4" s="8">
        <v>9.6704900000000003E-3</v>
      </c>
      <c r="N4" s="8">
        <v>1.5446400000000001E-2</v>
      </c>
      <c r="O4">
        <v>2.3613599999999998E-2</v>
      </c>
      <c r="P4">
        <v>3.4913100000000002E-2</v>
      </c>
      <c r="Q4">
        <v>5.0205300000000001E-2</v>
      </c>
      <c r="R4">
        <v>7.04433E-2</v>
      </c>
      <c r="S4">
        <v>9.6624199999999993E-2</v>
      </c>
      <c r="T4">
        <v>0.129717</v>
      </c>
      <c r="U4">
        <v>0.17056499999999999</v>
      </c>
      <c r="V4">
        <v>0.21976999999999999</v>
      </c>
      <c r="W4">
        <v>0.27756700000000001</v>
      </c>
      <c r="X4">
        <v>0.343698</v>
      </c>
      <c r="Y4">
        <v>0.41730499999999998</v>
      </c>
      <c r="Z4">
        <v>0.49686599999999997</v>
      </c>
      <c r="AA4" s="20">
        <v>0.580179</v>
      </c>
      <c r="AB4" s="20">
        <v>0.66441700000000004</v>
      </c>
      <c r="AC4" s="20">
        <v>0.74626099999999995</v>
      </c>
      <c r="AD4" s="20">
        <v>0.82209200000000004</v>
      </c>
      <c r="AE4" s="20">
        <v>0.88825500000000002</v>
      </c>
      <c r="AF4" s="20">
        <v>0.94133900000000004</v>
      </c>
      <c r="AG4" s="20">
        <v>0.97847499999999998</v>
      </c>
      <c r="AH4" s="20">
        <v>0.99758899999999995</v>
      </c>
      <c r="AI4" s="20">
        <v>0.99999700000000002</v>
      </c>
      <c r="AJ4" s="20">
        <v>1</v>
      </c>
      <c r="AK4" s="20">
        <v>1</v>
      </c>
      <c r="AL4" s="20">
        <v>1</v>
      </c>
      <c r="AM4" s="20">
        <v>1</v>
      </c>
      <c r="AN4" s="20">
        <v>1</v>
      </c>
      <c r="AO4" s="20">
        <v>1</v>
      </c>
      <c r="AP4" s="20">
        <v>1</v>
      </c>
      <c r="AQ4" s="20">
        <v>1</v>
      </c>
      <c r="AR4" s="20">
        <v>1</v>
      </c>
      <c r="AS4" s="20">
        <v>1</v>
      </c>
      <c r="AT4" s="20">
        <v>1</v>
      </c>
      <c r="AU4" s="20">
        <v>1</v>
      </c>
      <c r="AV4" s="20">
        <v>1</v>
      </c>
      <c r="AW4" s="20">
        <v>1</v>
      </c>
      <c r="AX4" s="20">
        <v>1</v>
      </c>
      <c r="AY4" s="20">
        <v>0.99999700000000002</v>
      </c>
      <c r="AZ4" s="20">
        <v>0.990788</v>
      </c>
      <c r="BA4" s="20">
        <v>0.95788499999999999</v>
      </c>
      <c r="BB4" s="20">
        <v>0.90361599999999997</v>
      </c>
      <c r="BC4">
        <v>0.83205399999999996</v>
      </c>
      <c r="BD4">
        <v>0.74828499999999998</v>
      </c>
      <c r="BE4">
        <v>0.65781599999999996</v>
      </c>
      <c r="BF4">
        <v>0.56598300000000001</v>
      </c>
      <c r="BG4">
        <v>0.47745300000000002</v>
      </c>
      <c r="BH4">
        <v>0.39588000000000001</v>
      </c>
      <c r="BI4">
        <v>0.323737</v>
      </c>
      <c r="BJ4">
        <v>0.26231700000000002</v>
      </c>
      <c r="BK4">
        <v>0.21187300000000001</v>
      </c>
      <c r="BL4">
        <v>0.171843</v>
      </c>
      <c r="BM4">
        <v>0.14111399999999999</v>
      </c>
      <c r="BN4">
        <v>0.118272</v>
      </c>
      <c r="BO4">
        <v>0.10181900000000001</v>
      </c>
      <c r="BP4">
        <v>9.0328000000000006E-2</v>
      </c>
      <c r="BQ4">
        <v>8.2542199999999996E-2</v>
      </c>
      <c r="BR4">
        <v>7.7422500000000005E-2</v>
      </c>
      <c r="BS4">
        <v>7.4153999999999998E-2</v>
      </c>
      <c r="BT4">
        <v>7.2127499999999997E-2</v>
      </c>
      <c r="BU4">
        <v>7.0906999999999998E-2</v>
      </c>
      <c r="BV4">
        <v>7.01928E-2</v>
      </c>
      <c r="BW4">
        <v>6.9441600000000006E-2</v>
      </c>
      <c r="BX4">
        <v>6.9319599999999995E-2</v>
      </c>
      <c r="BY4">
        <v>6.9316799999999998E-2</v>
      </c>
      <c r="BZ4">
        <v>6.9316699999999995E-2</v>
      </c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</row>
    <row r="5" spans="1:133" x14ac:dyDescent="0.25">
      <c r="A5" t="s">
        <v>194</v>
      </c>
      <c r="B5" s="20">
        <v>2</v>
      </c>
      <c r="C5">
        <v>1978</v>
      </c>
      <c r="D5">
        <v>1</v>
      </c>
      <c r="E5" t="s">
        <v>370</v>
      </c>
      <c r="F5" s="8">
        <v>2.18755E-9</v>
      </c>
      <c r="G5" s="8">
        <v>4.8699200000000001E-9</v>
      </c>
      <c r="H5" s="8">
        <v>1.0841399999999999E-8</v>
      </c>
      <c r="I5" s="8">
        <v>2.4135000000000001E-8</v>
      </c>
      <c r="J5" s="8">
        <v>5.3729300000000001E-8</v>
      </c>
      <c r="K5" s="8">
        <v>1.19612E-7</v>
      </c>
      <c r="L5" s="8">
        <v>2.66279E-7</v>
      </c>
      <c r="M5" s="8">
        <v>5.9278899999999998E-7</v>
      </c>
      <c r="N5" s="8">
        <v>1.31966E-6</v>
      </c>
      <c r="O5" s="8">
        <v>2.9378200000000002E-6</v>
      </c>
      <c r="P5" s="8">
        <v>6.5401399999999997E-6</v>
      </c>
      <c r="Q5" s="8">
        <v>1.45595E-5</v>
      </c>
      <c r="R5" s="8">
        <v>3.24117E-5</v>
      </c>
      <c r="S5" s="8">
        <v>7.2151900000000003E-5</v>
      </c>
      <c r="T5">
        <v>1.6061E-4</v>
      </c>
      <c r="U5">
        <v>3.5747799999999999E-4</v>
      </c>
      <c r="V5">
        <v>7.9546800000000002E-4</v>
      </c>
      <c r="W5">
        <v>1.76914E-3</v>
      </c>
      <c r="X5">
        <v>3.9299199999999999E-3</v>
      </c>
      <c r="Y5">
        <v>8.7068200000000005E-3</v>
      </c>
      <c r="Z5">
        <v>1.9178299999999999E-2</v>
      </c>
      <c r="AA5" s="20">
        <v>4.1713699999999999E-2</v>
      </c>
      <c r="AB5" s="20">
        <v>8.8344099999999995E-2</v>
      </c>
      <c r="AC5" s="20">
        <v>0.177449</v>
      </c>
      <c r="AD5" s="20">
        <v>0.32444099999999998</v>
      </c>
      <c r="AE5" s="20">
        <v>0.51670799999999995</v>
      </c>
      <c r="AF5" s="20">
        <v>0.70415300000000003</v>
      </c>
      <c r="AG5" s="20">
        <v>0.84123499999999996</v>
      </c>
      <c r="AH5" s="20">
        <v>0.92184900000000003</v>
      </c>
      <c r="AI5" s="20">
        <v>0.96331599999999995</v>
      </c>
      <c r="AJ5" s="20">
        <v>0.983182</v>
      </c>
      <c r="AK5" s="20">
        <v>0.99237500000000001</v>
      </c>
      <c r="AL5" s="20">
        <v>0.99656</v>
      </c>
      <c r="AM5" s="20">
        <v>0.99845200000000001</v>
      </c>
      <c r="AN5" s="20">
        <v>0.99930399999999997</v>
      </c>
      <c r="AO5" s="20">
        <v>0.99968699999999999</v>
      </c>
      <c r="AP5" s="20">
        <v>0.99985900000000005</v>
      </c>
      <c r="AQ5" s="20">
        <v>0.99993699999999996</v>
      </c>
      <c r="AR5" s="20">
        <v>0.99997199999999997</v>
      </c>
      <c r="AS5" s="20">
        <v>0.99999099999999996</v>
      </c>
      <c r="AT5" s="20">
        <v>0.99999800000000005</v>
      </c>
      <c r="AU5" s="20">
        <v>1</v>
      </c>
      <c r="AV5" s="20">
        <v>1</v>
      </c>
      <c r="AW5" s="20">
        <v>1</v>
      </c>
      <c r="AX5" s="20">
        <v>1</v>
      </c>
      <c r="AY5" s="20">
        <v>1</v>
      </c>
      <c r="AZ5" s="20">
        <v>1</v>
      </c>
      <c r="BA5" s="20">
        <v>1</v>
      </c>
      <c r="BB5" s="20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  <c r="BO5">
        <v>1</v>
      </c>
      <c r="BP5">
        <v>1</v>
      </c>
      <c r="BQ5">
        <v>1</v>
      </c>
      <c r="BR5">
        <v>1</v>
      </c>
      <c r="BS5">
        <v>1</v>
      </c>
      <c r="BT5">
        <v>1</v>
      </c>
      <c r="BU5">
        <v>1</v>
      </c>
      <c r="BV5">
        <v>1</v>
      </c>
      <c r="BW5">
        <v>1</v>
      </c>
      <c r="BX5">
        <v>1</v>
      </c>
      <c r="BY5">
        <v>1</v>
      </c>
      <c r="BZ5">
        <v>1</v>
      </c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</row>
    <row r="6" spans="1:133" x14ac:dyDescent="0.25">
      <c r="A6" t="s">
        <v>194</v>
      </c>
      <c r="B6" s="20">
        <v>3</v>
      </c>
      <c r="C6">
        <v>1978</v>
      </c>
      <c r="D6">
        <v>1</v>
      </c>
      <c r="E6" t="s">
        <v>371</v>
      </c>
      <c r="F6" s="8">
        <v>7.7681699999999999E-5</v>
      </c>
      <c r="G6">
        <v>2.1578299999999999E-4</v>
      </c>
      <c r="H6">
        <v>4.2293400000000003E-4</v>
      </c>
      <c r="I6">
        <v>6.9913500000000003E-4</v>
      </c>
      <c r="J6">
        <v>2.8090900000000002E-3</v>
      </c>
      <c r="K6">
        <v>9.7379500000000004E-3</v>
      </c>
      <c r="L6">
        <v>2.91247E-2</v>
      </c>
      <c r="M6">
        <v>7.5153399999999995E-2</v>
      </c>
      <c r="N6">
        <v>0.16731199999999999</v>
      </c>
      <c r="O6">
        <v>0.32136500000000001</v>
      </c>
      <c r="P6">
        <v>0.53255200000000003</v>
      </c>
      <c r="Q6">
        <v>0.76140699999999994</v>
      </c>
      <c r="R6">
        <v>0.939218</v>
      </c>
      <c r="S6">
        <v>0.99991399999999997</v>
      </c>
      <c r="T6">
        <v>0.99997100000000005</v>
      </c>
      <c r="U6">
        <v>0.99389000000000005</v>
      </c>
      <c r="V6">
        <v>0.97749699999999995</v>
      </c>
      <c r="W6">
        <v>0.951322</v>
      </c>
      <c r="X6">
        <v>0.91620500000000005</v>
      </c>
      <c r="Y6">
        <v>0.873247</v>
      </c>
      <c r="Z6">
        <v>0.82375200000000004</v>
      </c>
      <c r="AA6" s="20">
        <v>0.76916300000000004</v>
      </c>
      <c r="AB6" s="20">
        <v>0.71099000000000001</v>
      </c>
      <c r="AC6" s="20">
        <v>0.65074600000000005</v>
      </c>
      <c r="AD6" s="20">
        <v>0.58987800000000001</v>
      </c>
      <c r="AE6" s="20">
        <v>0.52971599999999996</v>
      </c>
      <c r="AF6" s="20">
        <v>0.47142899999999999</v>
      </c>
      <c r="AG6" s="20">
        <v>0.415993</v>
      </c>
      <c r="AH6" s="20">
        <v>0.364176</v>
      </c>
      <c r="AI6" s="20">
        <v>0.31653300000000001</v>
      </c>
      <c r="AJ6" s="20">
        <v>0.27340900000000001</v>
      </c>
      <c r="AK6" s="20">
        <v>0.23496400000000001</v>
      </c>
      <c r="AL6" s="20">
        <v>0.20118800000000001</v>
      </c>
      <c r="AM6" s="20">
        <v>0.171935</v>
      </c>
      <c r="AN6" s="20">
        <v>0.146948</v>
      </c>
      <c r="AO6" s="20">
        <v>0.12589400000000001</v>
      </c>
      <c r="AP6" s="20">
        <v>0.10839</v>
      </c>
      <c r="AQ6" s="20">
        <v>9.4027899999999998E-2</v>
      </c>
      <c r="AR6" s="20">
        <v>8.2395200000000002E-2</v>
      </c>
      <c r="AS6" s="20">
        <v>6.9198499999999996E-2</v>
      </c>
      <c r="AT6" s="20">
        <v>5.76698E-2</v>
      </c>
      <c r="AU6" s="20">
        <v>5.0905300000000001E-2</v>
      </c>
      <c r="AV6" s="20">
        <v>4.7125300000000002E-2</v>
      </c>
      <c r="AW6" s="20">
        <v>4.51125E-2</v>
      </c>
      <c r="AX6" s="20">
        <v>4.4090699999999997E-2</v>
      </c>
      <c r="AY6" s="20">
        <v>4.35959E-2</v>
      </c>
      <c r="AZ6" s="20">
        <v>4.3367299999999998E-2</v>
      </c>
      <c r="BA6" s="20">
        <v>4.3266399999999997E-2</v>
      </c>
      <c r="BB6" s="20">
        <v>4.3223999999999999E-2</v>
      </c>
      <c r="BC6">
        <v>4.3206899999999999E-2</v>
      </c>
      <c r="BD6">
        <v>4.32004E-2</v>
      </c>
      <c r="BE6">
        <v>4.3198E-2</v>
      </c>
      <c r="BF6">
        <v>4.3197100000000002E-2</v>
      </c>
      <c r="BG6">
        <v>4.31968E-2</v>
      </c>
      <c r="BH6">
        <v>4.3196699999999998E-2</v>
      </c>
      <c r="BI6">
        <v>4.3196699999999998E-2</v>
      </c>
      <c r="BJ6">
        <v>4.3196699999999998E-2</v>
      </c>
      <c r="BK6">
        <v>4.3196699999999998E-2</v>
      </c>
      <c r="BL6">
        <v>4.3196699999999998E-2</v>
      </c>
      <c r="BM6">
        <v>4.3196699999999998E-2</v>
      </c>
      <c r="BN6">
        <v>4.3196699999999998E-2</v>
      </c>
      <c r="BO6">
        <v>4.3196699999999998E-2</v>
      </c>
      <c r="BP6">
        <v>4.3196699999999998E-2</v>
      </c>
      <c r="BQ6">
        <v>4.3196699999999998E-2</v>
      </c>
      <c r="BR6">
        <v>4.3196699999999998E-2</v>
      </c>
      <c r="BS6">
        <v>4.3196699999999998E-2</v>
      </c>
      <c r="BT6">
        <v>4.3196699999999998E-2</v>
      </c>
      <c r="BU6">
        <v>4.3196699999999998E-2</v>
      </c>
      <c r="BV6">
        <v>4.3196699999999998E-2</v>
      </c>
      <c r="BW6">
        <v>4.3196699999999998E-2</v>
      </c>
      <c r="BX6">
        <v>4.3196699999999998E-2</v>
      </c>
      <c r="BY6">
        <v>4.3196699999999998E-2</v>
      </c>
      <c r="BZ6">
        <v>4.3196699999999998E-2</v>
      </c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</row>
    <row r="7" spans="1:133" x14ac:dyDescent="0.25">
      <c r="A7" t="s">
        <v>194</v>
      </c>
      <c r="B7" s="20">
        <v>4</v>
      </c>
      <c r="C7">
        <v>1978</v>
      </c>
      <c r="D7">
        <v>1</v>
      </c>
      <c r="E7" t="s">
        <v>372</v>
      </c>
      <c r="F7">
        <v>8.1556100000000002E-4</v>
      </c>
      <c r="G7">
        <v>2.26545E-3</v>
      </c>
      <c r="H7">
        <v>4.4402799999999996E-3</v>
      </c>
      <c r="I7">
        <v>7.3400499999999999E-3</v>
      </c>
      <c r="J7">
        <v>8.1124500000000002E-3</v>
      </c>
      <c r="K7">
        <v>1.0167000000000001E-2</v>
      </c>
      <c r="L7">
        <v>1.51617E-2</v>
      </c>
      <c r="M7">
        <v>2.6244400000000001E-2</v>
      </c>
      <c r="N7">
        <v>4.8653500000000002E-2</v>
      </c>
      <c r="O7">
        <v>8.9851600000000004E-2</v>
      </c>
      <c r="P7">
        <v>0.15850500000000001</v>
      </c>
      <c r="Q7">
        <v>0.261737</v>
      </c>
      <c r="R7">
        <v>0.40084599999999998</v>
      </c>
      <c r="S7">
        <v>0.56693899999999997</v>
      </c>
      <c r="T7">
        <v>0.73905100000000001</v>
      </c>
      <c r="U7">
        <v>0.887096</v>
      </c>
      <c r="V7">
        <v>0.97999499999999995</v>
      </c>
      <c r="W7">
        <v>0.99996399999999996</v>
      </c>
      <c r="X7">
        <v>0.99999899999999997</v>
      </c>
      <c r="Y7">
        <v>1</v>
      </c>
      <c r="Z7">
        <v>1</v>
      </c>
      <c r="AA7" s="20">
        <v>1</v>
      </c>
      <c r="AB7" s="20">
        <v>1</v>
      </c>
      <c r="AC7" s="20">
        <v>1</v>
      </c>
      <c r="AD7" s="20">
        <v>1</v>
      </c>
      <c r="AE7" s="20">
        <v>1</v>
      </c>
      <c r="AF7" s="20">
        <v>1</v>
      </c>
      <c r="AG7" s="20">
        <v>1</v>
      </c>
      <c r="AH7" s="20">
        <v>1</v>
      </c>
      <c r="AI7" s="20">
        <v>1</v>
      </c>
      <c r="AJ7" s="20">
        <v>1</v>
      </c>
      <c r="AK7" s="20">
        <v>1</v>
      </c>
      <c r="AL7" s="20">
        <v>1</v>
      </c>
      <c r="AM7" s="20">
        <v>1</v>
      </c>
      <c r="AN7" s="20">
        <v>0.99999700000000002</v>
      </c>
      <c r="AO7" s="20">
        <v>0.99799800000000005</v>
      </c>
      <c r="AP7" s="20">
        <v>0.98472499999999996</v>
      </c>
      <c r="AQ7" s="20">
        <v>0.95959700000000003</v>
      </c>
      <c r="AR7" s="20">
        <v>0.92374599999999996</v>
      </c>
      <c r="AS7" s="20">
        <v>0.85340400000000005</v>
      </c>
      <c r="AT7" s="20">
        <v>0.73914899999999994</v>
      </c>
      <c r="AU7" s="20">
        <v>0.61696099999999998</v>
      </c>
      <c r="AV7" s="20">
        <v>0.50166299999999997</v>
      </c>
      <c r="AW7" s="20">
        <v>0.40341700000000003</v>
      </c>
      <c r="AX7" s="20">
        <v>0.326872</v>
      </c>
      <c r="AY7" s="20">
        <v>0.27193699999999998</v>
      </c>
      <c r="AZ7" s="20">
        <v>0.23544499999999999</v>
      </c>
      <c r="BA7" s="20">
        <v>0.21293300000000001</v>
      </c>
      <c r="BB7" s="20">
        <v>0.20000699999999999</v>
      </c>
      <c r="BC7">
        <v>0.19308600000000001</v>
      </c>
      <c r="BD7">
        <v>0.18962699999999999</v>
      </c>
      <c r="BE7">
        <v>0.18801000000000001</v>
      </c>
      <c r="BF7">
        <v>0.187304</v>
      </c>
      <c r="BG7">
        <v>0.18701499999999999</v>
      </c>
      <c r="BH7">
        <v>0.18690399999999999</v>
      </c>
      <c r="BI7">
        <v>0.186864</v>
      </c>
      <c r="BJ7">
        <v>0.18685099999999999</v>
      </c>
      <c r="BK7">
        <v>0.18684700000000001</v>
      </c>
      <c r="BL7">
        <v>0.18684500000000001</v>
      </c>
      <c r="BM7">
        <v>0.18684500000000001</v>
      </c>
      <c r="BN7">
        <v>0.18684500000000001</v>
      </c>
      <c r="BO7">
        <v>0.18684500000000001</v>
      </c>
      <c r="BP7">
        <v>0.18684500000000001</v>
      </c>
      <c r="BQ7">
        <v>0.18684500000000001</v>
      </c>
      <c r="BR7">
        <v>0.18684500000000001</v>
      </c>
      <c r="BS7">
        <v>0.18684500000000001</v>
      </c>
      <c r="BT7">
        <v>0.18684500000000001</v>
      </c>
      <c r="BU7">
        <v>0.18684500000000001</v>
      </c>
      <c r="BV7">
        <v>0.18684500000000001</v>
      </c>
      <c r="BW7">
        <v>0.18684500000000001</v>
      </c>
      <c r="BX7">
        <v>0.18684500000000001</v>
      </c>
      <c r="BY7">
        <v>0.18684500000000001</v>
      </c>
      <c r="BZ7">
        <v>0.18684500000000001</v>
      </c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CB1715"/>
  <sheetViews>
    <sheetView workbookViewId="0"/>
  </sheetViews>
  <sheetFormatPr defaultRowHeight="15" x14ac:dyDescent="0.25"/>
  <sheetData>
    <row r="1" spans="1:80" s="20" customFormat="1" x14ac:dyDescent="0.25">
      <c r="A1" t="s">
        <v>200</v>
      </c>
      <c r="B1"/>
      <c r="C1"/>
      <c r="F1"/>
      <c r="G1"/>
      <c r="H1"/>
      <c r="N1"/>
      <c r="T1"/>
      <c r="AC1"/>
      <c r="AD1"/>
      <c r="AE1"/>
      <c r="AG1"/>
      <c r="AH1"/>
      <c r="AI1"/>
      <c r="AJ1"/>
      <c r="AK1"/>
      <c r="AL1"/>
      <c r="AM1"/>
      <c r="AN1"/>
      <c r="AO1"/>
      <c r="AP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</row>
    <row r="2" spans="1:80" s="20" customFormat="1" x14ac:dyDescent="0.25">
      <c r="A2" t="s">
        <v>288</v>
      </c>
      <c r="B2"/>
      <c r="C2"/>
      <c r="F2"/>
      <c r="G2"/>
      <c r="H2"/>
      <c r="N2"/>
      <c r="T2"/>
      <c r="AC2"/>
      <c r="AD2"/>
      <c r="AE2"/>
      <c r="AG2"/>
      <c r="AH2"/>
      <c r="AI2"/>
      <c r="AJ2"/>
      <c r="AK2"/>
      <c r="AL2"/>
      <c r="AM2"/>
      <c r="AN2"/>
      <c r="AO2"/>
      <c r="AP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</row>
    <row r="3" spans="1:80" s="20" customFormat="1" x14ac:dyDescent="0.25">
      <c r="A3" t="s">
        <v>283</v>
      </c>
      <c r="B3">
        <v>2002</v>
      </c>
      <c r="C3" t="s">
        <v>284</v>
      </c>
      <c r="D3" s="20">
        <v>2001</v>
      </c>
      <c r="E3" s="20" t="s">
        <v>270</v>
      </c>
      <c r="F3" t="s">
        <v>399</v>
      </c>
      <c r="G3" t="s">
        <v>397</v>
      </c>
      <c r="H3"/>
      <c r="N3"/>
      <c r="T3"/>
      <c r="AC3"/>
      <c r="AD3"/>
      <c r="AE3"/>
      <c r="AG3"/>
      <c r="AH3"/>
      <c r="AI3"/>
      <c r="AJ3"/>
      <c r="AK3"/>
      <c r="AL3"/>
      <c r="AM3"/>
      <c r="AN3"/>
      <c r="AO3"/>
      <c r="AP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</row>
    <row r="4" spans="1:80" s="20" customFormat="1" x14ac:dyDescent="0.25">
      <c r="A4" t="s">
        <v>201</v>
      </c>
      <c r="B4" t="s">
        <v>29</v>
      </c>
      <c r="C4" t="s">
        <v>191</v>
      </c>
      <c r="D4" s="20" t="s">
        <v>202</v>
      </c>
      <c r="E4" s="20" t="s">
        <v>192</v>
      </c>
      <c r="F4" t="s">
        <v>203</v>
      </c>
      <c r="G4" t="s">
        <v>193</v>
      </c>
      <c r="H4">
        <v>0</v>
      </c>
      <c r="I4" s="20">
        <v>1</v>
      </c>
      <c r="J4" s="20">
        <v>2</v>
      </c>
      <c r="K4" s="20">
        <v>3</v>
      </c>
      <c r="L4" s="20">
        <v>4</v>
      </c>
      <c r="M4" s="20">
        <v>5</v>
      </c>
      <c r="N4">
        <v>6</v>
      </c>
      <c r="O4" s="20">
        <v>7</v>
      </c>
      <c r="P4" s="20">
        <v>8</v>
      </c>
      <c r="Q4" s="20">
        <v>9</v>
      </c>
      <c r="R4" s="20">
        <v>10</v>
      </c>
      <c r="S4" s="20">
        <v>11</v>
      </c>
      <c r="T4">
        <v>12</v>
      </c>
      <c r="U4" s="20">
        <v>13</v>
      </c>
      <c r="V4" s="20">
        <v>14</v>
      </c>
      <c r="W4" s="20">
        <v>15</v>
      </c>
      <c r="X4" s="20">
        <v>16</v>
      </c>
      <c r="Y4" s="20">
        <v>17</v>
      </c>
      <c r="Z4" s="20">
        <v>18</v>
      </c>
      <c r="AA4" s="20">
        <v>19</v>
      </c>
      <c r="AB4" s="20">
        <v>20</v>
      </c>
      <c r="AC4">
        <v>21</v>
      </c>
      <c r="AD4">
        <v>22</v>
      </c>
      <c r="AE4">
        <v>23</v>
      </c>
      <c r="AF4" s="20">
        <v>24</v>
      </c>
      <c r="AG4">
        <v>25</v>
      </c>
      <c r="AH4">
        <v>26</v>
      </c>
      <c r="AI4">
        <v>27</v>
      </c>
      <c r="AJ4">
        <v>28</v>
      </c>
      <c r="AK4">
        <v>29</v>
      </c>
      <c r="AL4">
        <v>30</v>
      </c>
      <c r="AM4">
        <v>31</v>
      </c>
      <c r="AN4">
        <v>32</v>
      </c>
      <c r="AO4">
        <v>33</v>
      </c>
      <c r="AP4">
        <v>34</v>
      </c>
      <c r="AQ4" s="20">
        <v>35</v>
      </c>
      <c r="AR4" s="20">
        <v>36</v>
      </c>
      <c r="AS4" s="20">
        <v>37</v>
      </c>
      <c r="AT4" s="20">
        <v>38</v>
      </c>
      <c r="AU4" s="20">
        <v>39</v>
      </c>
      <c r="AV4" s="20">
        <v>40</v>
      </c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</row>
    <row r="5" spans="1:80" s="20" customFormat="1" x14ac:dyDescent="0.25">
      <c r="A5" t="s">
        <v>204</v>
      </c>
      <c r="B5">
        <v>1</v>
      </c>
      <c r="C5">
        <v>1968</v>
      </c>
      <c r="D5" s="20">
        <v>1</v>
      </c>
      <c r="E5" s="20">
        <v>1</v>
      </c>
      <c r="F5">
        <v>1</v>
      </c>
      <c r="G5" t="s">
        <v>400</v>
      </c>
      <c r="H5">
        <v>1</v>
      </c>
      <c r="I5" s="20">
        <v>1</v>
      </c>
      <c r="J5" s="20">
        <v>1</v>
      </c>
      <c r="K5" s="20">
        <v>1</v>
      </c>
      <c r="L5" s="20">
        <v>1</v>
      </c>
      <c r="M5" s="20">
        <v>1</v>
      </c>
      <c r="N5">
        <v>1</v>
      </c>
      <c r="O5" s="20">
        <v>1</v>
      </c>
      <c r="P5" s="20">
        <v>1</v>
      </c>
      <c r="Q5" s="20">
        <v>1</v>
      </c>
      <c r="R5" s="20">
        <v>1</v>
      </c>
      <c r="S5" s="20">
        <v>1</v>
      </c>
      <c r="T5">
        <v>1</v>
      </c>
      <c r="U5" s="20">
        <v>1</v>
      </c>
      <c r="V5" s="20">
        <v>1</v>
      </c>
      <c r="W5" s="20">
        <v>1</v>
      </c>
      <c r="X5" s="20">
        <v>1</v>
      </c>
      <c r="Y5" s="20">
        <v>1</v>
      </c>
      <c r="Z5" s="20">
        <v>1</v>
      </c>
      <c r="AA5" s="20">
        <v>1</v>
      </c>
      <c r="AB5" s="20">
        <v>1</v>
      </c>
      <c r="AC5">
        <v>1</v>
      </c>
      <c r="AD5">
        <v>1</v>
      </c>
      <c r="AE5">
        <v>1</v>
      </c>
      <c r="AF5" s="20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 s="20">
        <v>1</v>
      </c>
      <c r="AR5" s="20">
        <v>1</v>
      </c>
      <c r="AS5" s="20">
        <v>1</v>
      </c>
      <c r="AT5" s="20">
        <v>1</v>
      </c>
      <c r="AU5" s="20">
        <v>1</v>
      </c>
      <c r="AV5" s="20">
        <v>1</v>
      </c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</row>
    <row r="6" spans="1:80" s="20" customFormat="1" x14ac:dyDescent="0.25">
      <c r="A6" t="s">
        <v>204</v>
      </c>
      <c r="B6">
        <v>1</v>
      </c>
      <c r="C6">
        <v>1968</v>
      </c>
      <c r="D6" s="20">
        <v>1</v>
      </c>
      <c r="E6" s="20">
        <v>2</v>
      </c>
      <c r="F6">
        <v>1</v>
      </c>
      <c r="G6" t="s">
        <v>400</v>
      </c>
      <c r="H6">
        <v>1</v>
      </c>
      <c r="I6" s="20">
        <v>1</v>
      </c>
      <c r="J6" s="20">
        <v>1</v>
      </c>
      <c r="K6" s="20">
        <v>1</v>
      </c>
      <c r="L6" s="20">
        <v>1</v>
      </c>
      <c r="M6" s="20">
        <v>1</v>
      </c>
      <c r="N6">
        <v>1</v>
      </c>
      <c r="O6" s="20">
        <v>1</v>
      </c>
      <c r="P6" s="20">
        <v>1</v>
      </c>
      <c r="Q6" s="20">
        <v>1</v>
      </c>
      <c r="R6" s="20">
        <v>1</v>
      </c>
      <c r="S6" s="20">
        <v>1</v>
      </c>
      <c r="T6">
        <v>1</v>
      </c>
      <c r="U6" s="20">
        <v>1</v>
      </c>
      <c r="V6" s="20">
        <v>1</v>
      </c>
      <c r="W6" s="20">
        <v>1</v>
      </c>
      <c r="X6" s="20">
        <v>1</v>
      </c>
      <c r="Y6" s="20">
        <v>1</v>
      </c>
      <c r="Z6" s="20">
        <v>1</v>
      </c>
      <c r="AA6" s="20">
        <v>1</v>
      </c>
      <c r="AB6" s="20">
        <v>1</v>
      </c>
      <c r="AC6">
        <v>1</v>
      </c>
      <c r="AD6">
        <v>1</v>
      </c>
      <c r="AE6">
        <v>1</v>
      </c>
      <c r="AF6" s="20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 s="20">
        <v>1</v>
      </c>
      <c r="AR6" s="20">
        <v>1</v>
      </c>
      <c r="AS6" s="20">
        <v>1</v>
      </c>
      <c r="AT6" s="20">
        <v>1</v>
      </c>
      <c r="AU6" s="20">
        <v>1</v>
      </c>
      <c r="AV6" s="20">
        <v>1</v>
      </c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</row>
    <row r="7" spans="1:80" s="20" customFormat="1" x14ac:dyDescent="0.25">
      <c r="A7" t="s">
        <v>204</v>
      </c>
      <c r="B7">
        <v>1</v>
      </c>
      <c r="C7">
        <v>1971</v>
      </c>
      <c r="D7" s="20">
        <v>1</v>
      </c>
      <c r="E7" s="20">
        <v>1</v>
      </c>
      <c r="F7">
        <v>1</v>
      </c>
      <c r="G7" t="s">
        <v>401</v>
      </c>
      <c r="H7">
        <v>1</v>
      </c>
      <c r="I7" s="20">
        <v>1</v>
      </c>
      <c r="J7" s="20">
        <v>1</v>
      </c>
      <c r="K7" s="20">
        <v>1</v>
      </c>
      <c r="L7" s="20">
        <v>1</v>
      </c>
      <c r="M7" s="20">
        <v>1</v>
      </c>
      <c r="N7">
        <v>1</v>
      </c>
      <c r="O7" s="20">
        <v>1</v>
      </c>
      <c r="P7" s="20">
        <v>1</v>
      </c>
      <c r="Q7" s="20">
        <v>1</v>
      </c>
      <c r="R7" s="20">
        <v>1</v>
      </c>
      <c r="S7" s="20">
        <v>1</v>
      </c>
      <c r="T7">
        <v>1</v>
      </c>
      <c r="U7" s="20">
        <v>1</v>
      </c>
      <c r="V7" s="20">
        <v>1</v>
      </c>
      <c r="W7" s="20">
        <v>1</v>
      </c>
      <c r="X7" s="20">
        <v>1</v>
      </c>
      <c r="Y7" s="20">
        <v>1</v>
      </c>
      <c r="Z7" s="20">
        <v>1</v>
      </c>
      <c r="AA7" s="20">
        <v>1</v>
      </c>
      <c r="AB7" s="20">
        <v>1</v>
      </c>
      <c r="AC7">
        <v>1</v>
      </c>
      <c r="AD7">
        <v>1</v>
      </c>
      <c r="AE7">
        <v>1</v>
      </c>
      <c r="AF7" s="20">
        <v>1</v>
      </c>
      <c r="AG7">
        <v>1</v>
      </c>
      <c r="AH7">
        <v>1</v>
      </c>
      <c r="AI7">
        <v>1</v>
      </c>
      <c r="AJ7">
        <v>1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 s="20">
        <v>1</v>
      </c>
      <c r="AR7" s="20">
        <v>1</v>
      </c>
      <c r="AS7" s="20">
        <v>1</v>
      </c>
      <c r="AT7" s="20">
        <v>1</v>
      </c>
      <c r="AU7" s="20">
        <v>1</v>
      </c>
      <c r="AV7" s="20">
        <v>1</v>
      </c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</row>
    <row r="8" spans="1:80" s="20" customForma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</row>
    <row r="9" spans="1:80" s="20" customForma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</row>
    <row r="10" spans="1:80" s="20" customForma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</row>
    <row r="11" spans="1:80" s="20" customForma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</row>
    <row r="12" spans="1:80" s="20" customForma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</row>
    <row r="13" spans="1:80" s="20" customFormat="1" x14ac:dyDescent="0.25"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</row>
    <row r="14" spans="1:80" s="20" customFormat="1" x14ac:dyDescent="0.25"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</row>
    <row r="15" spans="1:80" s="20" customFormat="1" x14ac:dyDescent="0.25">
      <c r="D15"/>
      <c r="E15"/>
      <c r="F15"/>
      <c r="G15"/>
      <c r="H15" s="8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</row>
    <row r="16" spans="1:80" s="20" customFormat="1" x14ac:dyDescent="0.25"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</row>
    <row r="17" spans="4:80" s="20" customFormat="1" x14ac:dyDescent="0.25">
      <c r="D17"/>
      <c r="E17"/>
      <c r="F17"/>
      <c r="G17"/>
      <c r="H17" s="8"/>
      <c r="I17" s="8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</row>
    <row r="18" spans="4:80" s="20" customFormat="1" x14ac:dyDescent="0.25"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</row>
    <row r="19" spans="4:80" s="20" customFormat="1" x14ac:dyDescent="0.25">
      <c r="D19"/>
      <c r="E19"/>
      <c r="F19"/>
      <c r="G19"/>
      <c r="H19" s="8"/>
      <c r="I19" s="8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</row>
    <row r="20" spans="4:80" s="20" customFormat="1" x14ac:dyDescent="0.25"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</row>
    <row r="21" spans="4:80" s="20" customFormat="1" x14ac:dyDescent="0.25"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</row>
    <row r="22" spans="4:80" s="20" customFormat="1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</row>
    <row r="23" spans="4:80" s="20" customFormat="1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</row>
    <row r="24" spans="4:80" s="20" customFormat="1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</row>
    <row r="25" spans="4:80" s="20" customFormat="1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</row>
    <row r="26" spans="4:80" s="20" customFormat="1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</row>
    <row r="27" spans="4:80" s="20" customFormat="1" x14ac:dyDescent="0.25">
      <c r="D27"/>
      <c r="E27"/>
      <c r="F27"/>
      <c r="G27"/>
      <c r="H27" s="8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</row>
    <row r="28" spans="4:80" s="20" customFormat="1" x14ac:dyDescent="0.25"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</row>
    <row r="29" spans="4:80" s="20" customFormat="1" x14ac:dyDescent="0.25">
      <c r="D29"/>
      <c r="E29"/>
      <c r="F29"/>
      <c r="G29"/>
      <c r="H29" s="8"/>
      <c r="I29" s="8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</row>
    <row r="30" spans="4:80" s="20" customFormat="1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</row>
    <row r="31" spans="4:80" s="20" customFormat="1" x14ac:dyDescent="0.25">
      <c r="D31"/>
      <c r="E31"/>
      <c r="F31"/>
      <c r="G31"/>
      <c r="H31" s="8"/>
      <c r="I31" s="8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</row>
    <row r="32" spans="4:80" s="20" customFormat="1" x14ac:dyDescent="0.25"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</row>
    <row r="33" spans="4:80" s="20" customFormat="1" x14ac:dyDescent="0.25"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</row>
    <row r="34" spans="4:80" s="20" customFormat="1" x14ac:dyDescent="0.25"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</row>
    <row r="35" spans="4:80" s="20" customFormat="1" x14ac:dyDescent="0.25"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</row>
    <row r="36" spans="4:80" s="20" customFormat="1" x14ac:dyDescent="0.25"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</row>
    <row r="37" spans="4:80" s="20" customFormat="1" x14ac:dyDescent="0.25"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</row>
    <row r="38" spans="4:80" s="20" customFormat="1" x14ac:dyDescent="0.25"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</row>
    <row r="39" spans="4:80" s="20" customFormat="1" x14ac:dyDescent="0.25">
      <c r="D39"/>
      <c r="E39"/>
      <c r="F39"/>
      <c r="G39"/>
      <c r="H39" s="8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</row>
    <row r="40" spans="4:80" s="20" customFormat="1" x14ac:dyDescent="0.25"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</row>
    <row r="41" spans="4:80" s="20" customFormat="1" x14ac:dyDescent="0.25">
      <c r="D41"/>
      <c r="E41"/>
      <c r="F41"/>
      <c r="G41"/>
      <c r="H41" s="8"/>
      <c r="I41" s="8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</row>
    <row r="42" spans="4:80" s="20" customFormat="1" x14ac:dyDescent="0.25"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</row>
    <row r="43" spans="4:80" s="20" customFormat="1" x14ac:dyDescent="0.25">
      <c r="D43"/>
      <c r="E43"/>
      <c r="F43"/>
      <c r="G43"/>
      <c r="H43" s="8"/>
      <c r="I43" s="8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</row>
    <row r="44" spans="4:80" s="20" customFormat="1" x14ac:dyDescent="0.25"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</row>
    <row r="45" spans="4:80" s="20" customFormat="1" x14ac:dyDescent="0.25"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</row>
    <row r="46" spans="4:80" s="20" customFormat="1" x14ac:dyDescent="0.25"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</row>
    <row r="47" spans="4:80" s="20" customFormat="1" x14ac:dyDescent="0.25"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</row>
    <row r="48" spans="4:80" s="20" customFormat="1" x14ac:dyDescent="0.25"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</row>
    <row r="49" spans="4:80" s="20" customFormat="1" x14ac:dyDescent="0.25"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</row>
    <row r="50" spans="4:80" s="20" customFormat="1" x14ac:dyDescent="0.25"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</row>
    <row r="51" spans="4:80" s="20" customFormat="1" x14ac:dyDescent="0.25"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</row>
    <row r="52" spans="4:80" s="20" customFormat="1" x14ac:dyDescent="0.25"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</row>
    <row r="53" spans="4:80" s="20" customFormat="1" x14ac:dyDescent="0.25">
      <c r="D53"/>
      <c r="E53"/>
      <c r="F53"/>
      <c r="G53"/>
      <c r="H53" s="8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</row>
    <row r="54" spans="4:80" s="20" customFormat="1" x14ac:dyDescent="0.25">
      <c r="D54"/>
      <c r="E54"/>
      <c r="F54"/>
      <c r="G54"/>
      <c r="H54" s="8"/>
      <c r="I54" s="8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</row>
    <row r="55" spans="4:80" s="20" customFormat="1" x14ac:dyDescent="0.25"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</row>
    <row r="56" spans="4:80" s="20" customFormat="1" x14ac:dyDescent="0.25">
      <c r="D56"/>
      <c r="E56"/>
      <c r="F56"/>
      <c r="G56"/>
      <c r="H56" s="8"/>
      <c r="I56" s="8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</row>
    <row r="57" spans="4:80" s="20" customFormat="1" x14ac:dyDescent="0.25"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</row>
    <row r="58" spans="4:80" s="20" customFormat="1" x14ac:dyDescent="0.25"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</row>
    <row r="59" spans="4:80" s="20" customFormat="1" x14ac:dyDescent="0.25"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</row>
    <row r="60" spans="4:80" s="20" customFormat="1" x14ac:dyDescent="0.25"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</row>
    <row r="61" spans="4:80" s="20" customFormat="1" x14ac:dyDescent="0.25"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</row>
    <row r="62" spans="4:80" s="20" customFormat="1" x14ac:dyDescent="0.25"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</row>
    <row r="63" spans="4:80" s="20" customFormat="1" x14ac:dyDescent="0.25"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</row>
    <row r="64" spans="4:80" s="20" customFormat="1" x14ac:dyDescent="0.25">
      <c r="D64"/>
      <c r="E64"/>
      <c r="F64"/>
      <c r="G64"/>
      <c r="H64" s="8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</row>
    <row r="65" spans="4:80" s="20" customFormat="1" x14ac:dyDescent="0.25"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</row>
    <row r="66" spans="4:80" s="20" customFormat="1" x14ac:dyDescent="0.25">
      <c r="D66"/>
      <c r="E66"/>
      <c r="F66"/>
      <c r="G66"/>
      <c r="H66" s="8"/>
      <c r="I66" s="8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</row>
    <row r="67" spans="4:80" s="20" customFormat="1" x14ac:dyDescent="0.25"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</row>
    <row r="68" spans="4:80" s="20" customFormat="1" x14ac:dyDescent="0.25">
      <c r="D68"/>
      <c r="E68"/>
      <c r="F68"/>
      <c r="G68"/>
      <c r="H68" s="8"/>
      <c r="I68" s="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</row>
    <row r="69" spans="4:80" s="20" customFormat="1" x14ac:dyDescent="0.25"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</row>
    <row r="70" spans="4:80" s="20" customFormat="1" x14ac:dyDescent="0.25"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</row>
    <row r="71" spans="4:80" s="20" customFormat="1" x14ac:dyDescent="0.25"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</row>
    <row r="72" spans="4:80" s="20" customFormat="1" x14ac:dyDescent="0.25"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</row>
    <row r="73" spans="4:80" s="20" customFormat="1" x14ac:dyDescent="0.25"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</row>
    <row r="74" spans="4:80" s="20" customFormat="1" x14ac:dyDescent="0.25"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</row>
    <row r="75" spans="4:80" s="20" customFormat="1" x14ac:dyDescent="0.25"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</row>
    <row r="76" spans="4:80" s="20" customFormat="1" x14ac:dyDescent="0.25">
      <c r="D76"/>
      <c r="E76"/>
      <c r="F76"/>
      <c r="G76"/>
      <c r="H76" s="8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</row>
    <row r="77" spans="4:80" s="20" customFormat="1" x14ac:dyDescent="0.25"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</row>
    <row r="78" spans="4:80" s="20" customFormat="1" x14ac:dyDescent="0.25">
      <c r="D78"/>
      <c r="E78"/>
      <c r="F78"/>
      <c r="G78"/>
      <c r="H78" s="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</row>
    <row r="79" spans="4:80" s="20" customFormat="1" x14ac:dyDescent="0.25"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</row>
    <row r="80" spans="4:80" s="20" customFormat="1" x14ac:dyDescent="0.25">
      <c r="D80"/>
      <c r="E80"/>
      <c r="F80"/>
      <c r="G80"/>
      <c r="H80" s="8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</row>
    <row r="81" spans="4:80" s="20" customFormat="1" x14ac:dyDescent="0.25"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</row>
    <row r="82" spans="4:80" s="20" customFormat="1" x14ac:dyDescent="0.25"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</row>
    <row r="83" spans="4:80" s="20" customFormat="1" x14ac:dyDescent="0.25"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</row>
    <row r="84" spans="4:80" s="20" customFormat="1" x14ac:dyDescent="0.25"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</row>
    <row r="85" spans="4:80" s="20" customFormat="1" x14ac:dyDescent="0.25"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</row>
    <row r="86" spans="4:80" s="20" customFormat="1" x14ac:dyDescent="0.25"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</row>
    <row r="87" spans="4:80" s="20" customFormat="1" x14ac:dyDescent="0.25"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</row>
    <row r="88" spans="4:80" s="20" customFormat="1" x14ac:dyDescent="0.25">
      <c r="D88"/>
      <c r="E88"/>
      <c r="F88"/>
      <c r="G88"/>
      <c r="H88" s="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</row>
    <row r="89" spans="4:80" s="20" customFormat="1" x14ac:dyDescent="0.25"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</row>
    <row r="90" spans="4:80" s="20" customFormat="1" x14ac:dyDescent="0.25">
      <c r="D90"/>
      <c r="E90"/>
      <c r="F90"/>
      <c r="G90"/>
      <c r="H90" s="8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</row>
    <row r="91" spans="4:80" s="20" customFormat="1" x14ac:dyDescent="0.25"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</row>
    <row r="92" spans="4:80" s="20" customFormat="1" x14ac:dyDescent="0.25">
      <c r="D92"/>
      <c r="E92"/>
      <c r="F92"/>
      <c r="G92"/>
      <c r="H92" s="8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</row>
    <row r="93" spans="4:80" s="20" customFormat="1" x14ac:dyDescent="0.25"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</row>
    <row r="94" spans="4:80" s="20" customFormat="1" x14ac:dyDescent="0.25"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</row>
    <row r="95" spans="4:80" s="20" customFormat="1" x14ac:dyDescent="0.25"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</row>
    <row r="96" spans="4:80" s="20" customFormat="1" x14ac:dyDescent="0.25"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</row>
    <row r="97" spans="4:80" s="20" customFormat="1" x14ac:dyDescent="0.25"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</row>
    <row r="98" spans="4:80" s="20" customFormat="1" x14ac:dyDescent="0.25"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</row>
    <row r="99" spans="4:80" s="20" customFormat="1" x14ac:dyDescent="0.25"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</row>
    <row r="100" spans="4:80" s="20" customFormat="1" x14ac:dyDescent="0.25"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</row>
    <row r="101" spans="4:80" s="20" customFormat="1" x14ac:dyDescent="0.25"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</row>
    <row r="102" spans="4:80" s="20" customFormat="1" x14ac:dyDescent="0.25">
      <c r="D102"/>
      <c r="E102"/>
      <c r="F102"/>
      <c r="G102"/>
      <c r="H102" s="8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</row>
    <row r="103" spans="4:80" s="20" customFormat="1" x14ac:dyDescent="0.25">
      <c r="D103"/>
      <c r="E103"/>
      <c r="F103"/>
      <c r="G103"/>
      <c r="H103" s="8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</row>
    <row r="104" spans="4:80" s="20" customFormat="1" x14ac:dyDescent="0.25"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</row>
    <row r="105" spans="4:80" s="20" customFormat="1" x14ac:dyDescent="0.25">
      <c r="D105"/>
      <c r="E105"/>
      <c r="F105"/>
      <c r="G105"/>
      <c r="H105" s="8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</row>
    <row r="106" spans="4:80" s="20" customFormat="1" x14ac:dyDescent="0.25"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</row>
    <row r="107" spans="4:80" s="20" customFormat="1" x14ac:dyDescent="0.25"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</row>
    <row r="108" spans="4:80" s="20" customFormat="1" x14ac:dyDescent="0.25"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</row>
    <row r="109" spans="4:80" s="20" customFormat="1" x14ac:dyDescent="0.25"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</row>
    <row r="110" spans="4:80" s="20" customFormat="1" x14ac:dyDescent="0.25"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</row>
    <row r="111" spans="4:80" s="20" customFormat="1" x14ac:dyDescent="0.25"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</row>
    <row r="112" spans="4:80" s="20" customFormat="1" x14ac:dyDescent="0.25"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</row>
    <row r="113" spans="4:80" s="20" customFormat="1" x14ac:dyDescent="0.25">
      <c r="D113"/>
      <c r="E113"/>
      <c r="F113"/>
      <c r="G113"/>
      <c r="H113" s="8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</row>
    <row r="114" spans="4:80" s="20" customFormat="1" x14ac:dyDescent="0.25"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</row>
    <row r="115" spans="4:80" s="20" customFormat="1" x14ac:dyDescent="0.25">
      <c r="D115"/>
      <c r="E115"/>
      <c r="F115"/>
      <c r="G115"/>
      <c r="H115" s="8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</row>
    <row r="116" spans="4:80" s="20" customFormat="1" x14ac:dyDescent="0.25"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</row>
    <row r="117" spans="4:80" s="20" customFormat="1" x14ac:dyDescent="0.25">
      <c r="D117"/>
      <c r="E117"/>
      <c r="F117"/>
      <c r="G117"/>
      <c r="H117" s="8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</row>
    <row r="118" spans="4:80" s="20" customFormat="1" x14ac:dyDescent="0.25"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</row>
    <row r="119" spans="4:80" s="20" customFormat="1" x14ac:dyDescent="0.25"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</row>
    <row r="120" spans="4:80" s="20" customFormat="1" x14ac:dyDescent="0.25"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</row>
    <row r="121" spans="4:80" s="20" customFormat="1" x14ac:dyDescent="0.25"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</row>
    <row r="122" spans="4:80" s="20" customFormat="1" x14ac:dyDescent="0.25"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</row>
    <row r="123" spans="4:80" s="20" customFormat="1" x14ac:dyDescent="0.25"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</row>
    <row r="124" spans="4:80" s="20" customFormat="1" x14ac:dyDescent="0.25"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</row>
    <row r="125" spans="4:80" s="20" customFormat="1" x14ac:dyDescent="0.25">
      <c r="D125"/>
      <c r="E125"/>
      <c r="F125"/>
      <c r="G125"/>
      <c r="H125" s="8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</row>
    <row r="126" spans="4:80" s="20" customFormat="1" x14ac:dyDescent="0.25"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</row>
    <row r="127" spans="4:80" s="20" customFormat="1" x14ac:dyDescent="0.25">
      <c r="D127"/>
      <c r="E127"/>
      <c r="F127"/>
      <c r="G127"/>
      <c r="H127" s="8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</row>
    <row r="128" spans="4:80" s="20" customFormat="1" x14ac:dyDescent="0.25"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</row>
    <row r="129" spans="4:80" s="20" customFormat="1" x14ac:dyDescent="0.25">
      <c r="D129"/>
      <c r="E129"/>
      <c r="F129"/>
      <c r="G129"/>
      <c r="H129" s="8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</row>
    <row r="130" spans="4:80" s="20" customFormat="1" x14ac:dyDescent="0.25"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</row>
    <row r="131" spans="4:80" s="20" customFormat="1" x14ac:dyDescent="0.25">
      <c r="D131"/>
      <c r="E131"/>
      <c r="F131"/>
      <c r="G131"/>
      <c r="H131" s="8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</row>
    <row r="132" spans="4:80" s="20" customFormat="1" x14ac:dyDescent="0.25"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</row>
    <row r="133" spans="4:80" s="20" customFormat="1" x14ac:dyDescent="0.25">
      <c r="D133"/>
      <c r="E133"/>
      <c r="F133"/>
      <c r="G133"/>
      <c r="H133" s="8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</row>
    <row r="134" spans="4:80" s="20" customFormat="1" x14ac:dyDescent="0.25"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</row>
    <row r="135" spans="4:80" s="20" customFormat="1" x14ac:dyDescent="0.25"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</row>
    <row r="136" spans="4:80" s="20" customFormat="1" x14ac:dyDescent="0.25"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</row>
    <row r="137" spans="4:80" s="20" customFormat="1" x14ac:dyDescent="0.25">
      <c r="D137"/>
      <c r="E137"/>
      <c r="F137"/>
      <c r="G137"/>
      <c r="H137" s="8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</row>
    <row r="138" spans="4:80" s="20" customFormat="1" x14ac:dyDescent="0.25"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</row>
    <row r="139" spans="4:80" s="20" customFormat="1" x14ac:dyDescent="0.25">
      <c r="D139"/>
      <c r="E139"/>
      <c r="F139"/>
      <c r="G139"/>
      <c r="H139" s="8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</row>
    <row r="140" spans="4:80" s="20" customFormat="1" x14ac:dyDescent="0.25"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</row>
    <row r="141" spans="4:80" s="20" customFormat="1" x14ac:dyDescent="0.25">
      <c r="D141"/>
      <c r="E141"/>
      <c r="F141"/>
      <c r="G141"/>
      <c r="H141" s="8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</row>
    <row r="142" spans="4:80" s="20" customFormat="1" x14ac:dyDescent="0.25"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</row>
    <row r="143" spans="4:80" s="20" customFormat="1" x14ac:dyDescent="0.25"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</row>
    <row r="144" spans="4:80" s="20" customFormat="1" x14ac:dyDescent="0.25"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</row>
    <row r="145" spans="4:80" s="20" customFormat="1" x14ac:dyDescent="0.25"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</row>
    <row r="146" spans="4:80" s="20" customFormat="1" x14ac:dyDescent="0.25"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</row>
    <row r="147" spans="4:80" s="20" customFormat="1" x14ac:dyDescent="0.25"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</row>
    <row r="148" spans="4:80" s="20" customFormat="1" x14ac:dyDescent="0.25"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</row>
    <row r="149" spans="4:80" s="20" customFormat="1" x14ac:dyDescent="0.25">
      <c r="D149"/>
      <c r="E149"/>
      <c r="F149"/>
      <c r="G149"/>
      <c r="H149" s="8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</row>
    <row r="150" spans="4:80" s="20" customFormat="1" x14ac:dyDescent="0.25"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</row>
    <row r="151" spans="4:80" s="20" customFormat="1" x14ac:dyDescent="0.25">
      <c r="D151"/>
      <c r="E151"/>
      <c r="F151"/>
      <c r="G151"/>
      <c r="H151" s="8"/>
      <c r="I151" s="8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</row>
    <row r="152" spans="4:80" s="20" customFormat="1" x14ac:dyDescent="0.25">
      <c r="D152"/>
      <c r="E152"/>
      <c r="F152"/>
      <c r="G152"/>
      <c r="H152" s="8"/>
      <c r="I152" s="8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</row>
    <row r="153" spans="4:80" s="20" customFormat="1" x14ac:dyDescent="0.25"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</row>
    <row r="154" spans="4:80" s="20" customFormat="1" x14ac:dyDescent="0.25">
      <c r="D154"/>
      <c r="E154"/>
      <c r="F154"/>
      <c r="G154"/>
      <c r="H154" s="8"/>
      <c r="I154" s="8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</row>
    <row r="155" spans="4:80" s="20" customFormat="1" x14ac:dyDescent="0.25"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</row>
    <row r="156" spans="4:80" s="20" customFormat="1" x14ac:dyDescent="0.25"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</row>
    <row r="157" spans="4:80" s="20" customFormat="1" x14ac:dyDescent="0.25"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</row>
    <row r="158" spans="4:80" s="20" customFormat="1" x14ac:dyDescent="0.25"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</row>
    <row r="159" spans="4:80" s="20" customFormat="1" x14ac:dyDescent="0.25"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</row>
    <row r="160" spans="4:80" s="20" customFormat="1" x14ac:dyDescent="0.25"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</row>
    <row r="161" spans="4:80" s="20" customFormat="1" x14ac:dyDescent="0.25"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</row>
    <row r="162" spans="4:80" s="20" customFormat="1" x14ac:dyDescent="0.25">
      <c r="D162"/>
      <c r="E162"/>
      <c r="F162"/>
      <c r="G162"/>
      <c r="H162" s="8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</row>
    <row r="163" spans="4:80" s="20" customFormat="1" x14ac:dyDescent="0.25"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</row>
    <row r="164" spans="4:80" s="20" customFormat="1" x14ac:dyDescent="0.25">
      <c r="D164"/>
      <c r="E164"/>
      <c r="F164"/>
      <c r="G164"/>
      <c r="H164" s="8"/>
      <c r="I164" s="8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</row>
    <row r="165" spans="4:80" s="20" customFormat="1" x14ac:dyDescent="0.25"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</row>
    <row r="166" spans="4:80" s="20" customFormat="1" x14ac:dyDescent="0.25">
      <c r="D166"/>
      <c r="E166"/>
      <c r="F166"/>
      <c r="G166"/>
      <c r="H166" s="8"/>
      <c r="I166" s="8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</row>
    <row r="167" spans="4:80" s="20" customFormat="1" x14ac:dyDescent="0.25"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</row>
    <row r="168" spans="4:80" s="20" customFormat="1" x14ac:dyDescent="0.25"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</row>
    <row r="169" spans="4:80" s="20" customFormat="1" x14ac:dyDescent="0.25"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</row>
    <row r="170" spans="4:80" s="20" customFormat="1" x14ac:dyDescent="0.25"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</row>
    <row r="171" spans="4:80" s="20" customFormat="1" x14ac:dyDescent="0.25"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</row>
    <row r="172" spans="4:80" s="20" customFormat="1" x14ac:dyDescent="0.25"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</row>
    <row r="173" spans="4:80" s="20" customFormat="1" x14ac:dyDescent="0.25"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</row>
    <row r="174" spans="4:80" s="20" customFormat="1" x14ac:dyDescent="0.25">
      <c r="D174"/>
      <c r="E174"/>
      <c r="F174"/>
      <c r="G174"/>
      <c r="H174" s="8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</row>
    <row r="175" spans="4:80" s="20" customFormat="1" x14ac:dyDescent="0.25"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</row>
    <row r="176" spans="4:80" s="20" customFormat="1" x14ac:dyDescent="0.25">
      <c r="D176"/>
      <c r="E176"/>
      <c r="F176"/>
      <c r="G176"/>
      <c r="H176" s="8"/>
      <c r="I176" s="8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</row>
    <row r="177" spans="4:80" s="20" customFormat="1" x14ac:dyDescent="0.25"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</row>
    <row r="178" spans="4:80" s="20" customFormat="1" x14ac:dyDescent="0.25">
      <c r="D178"/>
      <c r="E178"/>
      <c r="F178"/>
      <c r="G178"/>
      <c r="H178" s="8"/>
      <c r="I178" s="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</row>
    <row r="179" spans="4:80" s="20" customFormat="1" x14ac:dyDescent="0.25"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</row>
    <row r="180" spans="4:80" s="20" customFormat="1" x14ac:dyDescent="0.25">
      <c r="D180"/>
      <c r="E180"/>
      <c r="F180"/>
      <c r="G180"/>
      <c r="H180" s="8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</row>
    <row r="181" spans="4:80" s="20" customFormat="1" x14ac:dyDescent="0.25"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</row>
    <row r="182" spans="4:80" s="20" customFormat="1" x14ac:dyDescent="0.25">
      <c r="D182"/>
      <c r="E182"/>
      <c r="F182"/>
      <c r="G182"/>
      <c r="H182" s="8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</row>
    <row r="183" spans="4:80" s="20" customFormat="1" x14ac:dyDescent="0.25"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</row>
    <row r="184" spans="4:80" s="20" customFormat="1" x14ac:dyDescent="0.25">
      <c r="D184"/>
      <c r="E184"/>
      <c r="F184"/>
      <c r="G184"/>
      <c r="H184" s="8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</row>
    <row r="185" spans="4:80" s="20" customFormat="1" x14ac:dyDescent="0.25"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</row>
    <row r="186" spans="4:80" s="20" customFormat="1" x14ac:dyDescent="0.25">
      <c r="D186"/>
      <c r="E186"/>
      <c r="F186"/>
      <c r="G186"/>
      <c r="H186" s="8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</row>
    <row r="187" spans="4:80" s="20" customFormat="1" x14ac:dyDescent="0.25"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</row>
    <row r="188" spans="4:80" s="20" customFormat="1" x14ac:dyDescent="0.25">
      <c r="D188"/>
      <c r="E188"/>
      <c r="F188"/>
      <c r="G188"/>
      <c r="H188" s="8"/>
      <c r="I188" s="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</row>
    <row r="189" spans="4:80" s="20" customFormat="1" x14ac:dyDescent="0.25"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</row>
    <row r="190" spans="4:80" s="20" customFormat="1" x14ac:dyDescent="0.25">
      <c r="D190"/>
      <c r="E190"/>
      <c r="F190"/>
      <c r="G190"/>
      <c r="H190" s="8"/>
      <c r="I190" s="8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</row>
    <row r="191" spans="4:80" s="20" customFormat="1" x14ac:dyDescent="0.25"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</row>
    <row r="192" spans="4:80" s="20" customFormat="1" x14ac:dyDescent="0.25"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</row>
    <row r="193" spans="4:80" s="20" customFormat="1" x14ac:dyDescent="0.25"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</row>
    <row r="194" spans="4:80" s="20" customFormat="1" x14ac:dyDescent="0.25"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</row>
    <row r="195" spans="4:80" s="20" customFormat="1" x14ac:dyDescent="0.25"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</row>
    <row r="196" spans="4:80" s="20" customFormat="1" x14ac:dyDescent="0.25"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</row>
    <row r="197" spans="4:80" s="20" customFormat="1" x14ac:dyDescent="0.25"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</row>
    <row r="198" spans="4:80" s="20" customFormat="1" x14ac:dyDescent="0.25">
      <c r="D198"/>
      <c r="E198"/>
      <c r="F198"/>
      <c r="G198"/>
      <c r="H198" s="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</row>
    <row r="199" spans="4:80" s="20" customFormat="1" x14ac:dyDescent="0.25"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</row>
    <row r="200" spans="4:80" s="20" customFormat="1" x14ac:dyDescent="0.25">
      <c r="D200"/>
      <c r="E200"/>
      <c r="F200"/>
      <c r="G200"/>
      <c r="H200" s="8"/>
      <c r="I200" s="8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</row>
    <row r="201" spans="4:80" s="20" customFormat="1" x14ac:dyDescent="0.25">
      <c r="D201"/>
      <c r="E201"/>
      <c r="F201"/>
      <c r="G201"/>
      <c r="H201" s="8"/>
      <c r="I201" s="8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</row>
    <row r="202" spans="4:80" s="20" customFormat="1" x14ac:dyDescent="0.25"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</row>
    <row r="203" spans="4:80" s="20" customFormat="1" x14ac:dyDescent="0.25">
      <c r="D203"/>
      <c r="E203"/>
      <c r="F203"/>
      <c r="G203"/>
      <c r="H203" s="8"/>
      <c r="I203" s="8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</row>
    <row r="204" spans="4:80" s="20" customFormat="1" x14ac:dyDescent="0.25"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</row>
    <row r="205" spans="4:80" s="20" customFormat="1" x14ac:dyDescent="0.25"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</row>
    <row r="206" spans="4:80" s="20" customFormat="1" x14ac:dyDescent="0.25"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</row>
    <row r="207" spans="4:80" s="20" customFormat="1" x14ac:dyDescent="0.25"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</row>
    <row r="208" spans="4:80" s="20" customFormat="1" x14ac:dyDescent="0.25"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</row>
    <row r="209" spans="4:80" s="20" customFormat="1" x14ac:dyDescent="0.25"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</row>
    <row r="210" spans="4:80" s="20" customFormat="1" x14ac:dyDescent="0.25"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</row>
    <row r="211" spans="4:80" s="20" customFormat="1" x14ac:dyDescent="0.25">
      <c r="D211"/>
      <c r="E211"/>
      <c r="F211"/>
      <c r="G211"/>
      <c r="H211" s="8"/>
      <c r="I211" s="8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</row>
    <row r="212" spans="4:80" s="20" customFormat="1" x14ac:dyDescent="0.25"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</row>
    <row r="213" spans="4:80" s="20" customFormat="1" x14ac:dyDescent="0.25">
      <c r="D213"/>
      <c r="E213"/>
      <c r="F213"/>
      <c r="G213"/>
      <c r="H213" s="8"/>
      <c r="I213" s="8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</row>
    <row r="214" spans="4:80" s="20" customFormat="1" x14ac:dyDescent="0.25"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</row>
    <row r="215" spans="4:80" s="20" customFormat="1" x14ac:dyDescent="0.25">
      <c r="D215"/>
      <c r="E215"/>
      <c r="F215"/>
      <c r="G215"/>
      <c r="H215" s="8"/>
      <c r="I215" s="8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</row>
    <row r="216" spans="4:80" s="20" customFormat="1" x14ac:dyDescent="0.25"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</row>
    <row r="217" spans="4:80" s="20" customFormat="1" x14ac:dyDescent="0.25"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</row>
    <row r="218" spans="4:80" s="20" customFormat="1" x14ac:dyDescent="0.25"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</row>
    <row r="219" spans="4:80" s="20" customFormat="1" x14ac:dyDescent="0.25"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</row>
    <row r="220" spans="4:80" s="20" customFormat="1" x14ac:dyDescent="0.25"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</row>
    <row r="221" spans="4:80" s="20" customFormat="1" x14ac:dyDescent="0.25"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</row>
    <row r="222" spans="4:80" s="20" customFormat="1" x14ac:dyDescent="0.25"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</row>
    <row r="223" spans="4:80" s="20" customFormat="1" x14ac:dyDescent="0.25">
      <c r="D223"/>
      <c r="E223"/>
      <c r="F223"/>
      <c r="G223"/>
      <c r="H223" s="8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</row>
    <row r="224" spans="4:80" s="20" customFormat="1" x14ac:dyDescent="0.25"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</row>
    <row r="225" spans="4:80" s="20" customFormat="1" x14ac:dyDescent="0.25">
      <c r="D225"/>
      <c r="E225"/>
      <c r="F225"/>
      <c r="G225"/>
      <c r="H225" s="8"/>
      <c r="I225" s="8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</row>
    <row r="226" spans="4:80" s="20" customFormat="1" x14ac:dyDescent="0.25"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</row>
    <row r="227" spans="4:80" s="20" customFormat="1" x14ac:dyDescent="0.25">
      <c r="D227"/>
      <c r="E227"/>
      <c r="F227"/>
      <c r="G227"/>
      <c r="H227" s="8"/>
      <c r="I227" s="8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</row>
    <row r="228" spans="4:80" s="20" customFormat="1" x14ac:dyDescent="0.25"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</row>
    <row r="229" spans="4:80" s="20" customFormat="1" x14ac:dyDescent="0.25"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</row>
    <row r="230" spans="4:80" s="20" customFormat="1" x14ac:dyDescent="0.25"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</row>
    <row r="231" spans="4:80" s="20" customFormat="1" x14ac:dyDescent="0.25"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</row>
    <row r="232" spans="4:80" s="20" customFormat="1" x14ac:dyDescent="0.25"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</row>
    <row r="233" spans="4:80" s="20" customFormat="1" x14ac:dyDescent="0.25"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</row>
    <row r="234" spans="4:80" s="20" customFormat="1" x14ac:dyDescent="0.25"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</row>
    <row r="235" spans="4:80" s="20" customFormat="1" x14ac:dyDescent="0.25">
      <c r="D235"/>
      <c r="E235"/>
      <c r="F235"/>
      <c r="G235"/>
      <c r="H235" s="8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</row>
    <row r="236" spans="4:80" s="20" customFormat="1" x14ac:dyDescent="0.25"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</row>
    <row r="237" spans="4:80" s="20" customFormat="1" x14ac:dyDescent="0.25">
      <c r="D237"/>
      <c r="E237"/>
      <c r="F237"/>
      <c r="G237"/>
      <c r="H237" s="8"/>
      <c r="I237" s="8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</row>
    <row r="238" spans="4:80" s="20" customFormat="1" x14ac:dyDescent="0.25"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</row>
    <row r="239" spans="4:80" s="20" customFormat="1" x14ac:dyDescent="0.25">
      <c r="D239"/>
      <c r="E239"/>
      <c r="F239"/>
      <c r="G239"/>
      <c r="H239" s="8"/>
      <c r="I239" s="8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</row>
    <row r="240" spans="4:80" s="20" customFormat="1" x14ac:dyDescent="0.25"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</row>
    <row r="241" spans="4:80" s="20" customFormat="1" x14ac:dyDescent="0.25"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</row>
    <row r="242" spans="4:80" s="20" customFormat="1" x14ac:dyDescent="0.25"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</row>
    <row r="243" spans="4:80" s="20" customFormat="1" x14ac:dyDescent="0.25"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</row>
    <row r="244" spans="4:80" s="20" customFormat="1" x14ac:dyDescent="0.25"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</row>
    <row r="245" spans="4:80" s="20" customFormat="1" x14ac:dyDescent="0.25"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</row>
    <row r="246" spans="4:80" s="20" customFormat="1" x14ac:dyDescent="0.25"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</row>
    <row r="247" spans="4:80" s="20" customFormat="1" x14ac:dyDescent="0.25"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</row>
    <row r="248" spans="4:80" s="20" customFormat="1" x14ac:dyDescent="0.25"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</row>
    <row r="249" spans="4:80" s="20" customFormat="1" x14ac:dyDescent="0.25">
      <c r="D249"/>
      <c r="E249"/>
      <c r="F249"/>
      <c r="G249"/>
      <c r="H249" s="8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</row>
    <row r="250" spans="4:80" s="20" customFormat="1" x14ac:dyDescent="0.25">
      <c r="D250"/>
      <c r="E250"/>
      <c r="F250"/>
      <c r="G250"/>
      <c r="H250" s="8"/>
      <c r="I250" s="8"/>
      <c r="J250" s="8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</row>
    <row r="251" spans="4:80" s="20" customFormat="1" x14ac:dyDescent="0.25"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</row>
    <row r="252" spans="4:80" s="20" customFormat="1" x14ac:dyDescent="0.25">
      <c r="D252"/>
      <c r="E252"/>
      <c r="F252"/>
      <c r="G252"/>
      <c r="H252" s="8"/>
      <c r="I252" s="8"/>
      <c r="J252" s="8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</row>
    <row r="253" spans="4:80" s="20" customFormat="1" x14ac:dyDescent="0.25"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</row>
    <row r="254" spans="4:80" s="20" customFormat="1" x14ac:dyDescent="0.25"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</row>
    <row r="255" spans="4:80" s="20" customFormat="1" x14ac:dyDescent="0.25"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</row>
    <row r="256" spans="4:80" s="20" customFormat="1" x14ac:dyDescent="0.25"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</row>
    <row r="257" spans="4:80" s="20" customFormat="1" x14ac:dyDescent="0.25"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</row>
    <row r="258" spans="4:80" s="20" customFormat="1" x14ac:dyDescent="0.25"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</row>
    <row r="259" spans="4:80" s="20" customFormat="1" x14ac:dyDescent="0.25"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</row>
    <row r="260" spans="4:80" s="20" customFormat="1" x14ac:dyDescent="0.25">
      <c r="D260"/>
      <c r="E260"/>
      <c r="F260"/>
      <c r="G260"/>
      <c r="H260" s="8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</row>
    <row r="261" spans="4:80" s="20" customFormat="1" x14ac:dyDescent="0.25"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</row>
    <row r="262" spans="4:80" s="20" customFormat="1" x14ac:dyDescent="0.25">
      <c r="D262"/>
      <c r="E262"/>
      <c r="F262"/>
      <c r="G262"/>
      <c r="H262" s="8"/>
      <c r="I262" s="8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</row>
    <row r="263" spans="4:80" s="20" customFormat="1" x14ac:dyDescent="0.25"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</row>
    <row r="264" spans="4:80" s="20" customFormat="1" x14ac:dyDescent="0.25">
      <c r="D264"/>
      <c r="E264"/>
      <c r="F264"/>
      <c r="G264"/>
      <c r="H264" s="8"/>
      <c r="I264" s="8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</row>
    <row r="265" spans="4:80" s="20" customFormat="1" x14ac:dyDescent="0.25"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</row>
    <row r="266" spans="4:80" s="20" customFormat="1" x14ac:dyDescent="0.25"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</row>
    <row r="267" spans="4:80" s="20" customFormat="1" x14ac:dyDescent="0.25"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</row>
    <row r="268" spans="4:80" s="20" customFormat="1" x14ac:dyDescent="0.25"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</row>
    <row r="269" spans="4:80" s="20" customFormat="1" x14ac:dyDescent="0.25"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</row>
    <row r="270" spans="4:80" s="20" customFormat="1" x14ac:dyDescent="0.25"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</row>
    <row r="271" spans="4:80" s="20" customFormat="1" x14ac:dyDescent="0.25"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</row>
    <row r="272" spans="4:80" s="20" customFormat="1" x14ac:dyDescent="0.25">
      <c r="D272"/>
      <c r="E272"/>
      <c r="F272"/>
      <c r="G272"/>
      <c r="H272" s="8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</row>
    <row r="273" spans="4:80" s="20" customFormat="1" x14ac:dyDescent="0.25"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</row>
    <row r="274" spans="4:80" s="20" customFormat="1" x14ac:dyDescent="0.25">
      <c r="D274"/>
      <c r="E274"/>
      <c r="F274"/>
      <c r="G274"/>
      <c r="H274" s="8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</row>
    <row r="275" spans="4:80" s="20" customFormat="1" x14ac:dyDescent="0.25"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</row>
    <row r="276" spans="4:80" s="20" customFormat="1" x14ac:dyDescent="0.25">
      <c r="D276"/>
      <c r="E276"/>
      <c r="F276"/>
      <c r="G276"/>
      <c r="H276" s="8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</row>
    <row r="277" spans="4:80" s="20" customFormat="1" x14ac:dyDescent="0.25"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</row>
    <row r="278" spans="4:80" s="20" customFormat="1" x14ac:dyDescent="0.25"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</row>
    <row r="279" spans="4:80" s="20" customFormat="1" x14ac:dyDescent="0.25"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</row>
    <row r="280" spans="4:80" s="20" customFormat="1" x14ac:dyDescent="0.25"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</row>
    <row r="281" spans="4:80" s="20" customFormat="1" x14ac:dyDescent="0.25"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</row>
    <row r="282" spans="4:80" s="20" customFormat="1" x14ac:dyDescent="0.25"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</row>
    <row r="283" spans="4:80" s="20" customFormat="1" x14ac:dyDescent="0.25"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</row>
    <row r="284" spans="4:80" s="20" customFormat="1" x14ac:dyDescent="0.25">
      <c r="D284"/>
      <c r="E284"/>
      <c r="F284"/>
      <c r="G284"/>
      <c r="H284" s="8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</row>
    <row r="285" spans="4:80" s="20" customFormat="1" x14ac:dyDescent="0.25"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</row>
    <row r="286" spans="4:80" s="20" customFormat="1" x14ac:dyDescent="0.25">
      <c r="D286"/>
      <c r="E286"/>
      <c r="F286"/>
      <c r="G286"/>
      <c r="H286" s="8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</row>
    <row r="287" spans="4:80" s="20" customFormat="1" x14ac:dyDescent="0.25"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</row>
    <row r="288" spans="4:80" s="20" customFormat="1" x14ac:dyDescent="0.25">
      <c r="D288"/>
      <c r="E288"/>
      <c r="F288"/>
      <c r="G288"/>
      <c r="H288" s="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</row>
    <row r="289" spans="4:80" s="20" customFormat="1" x14ac:dyDescent="0.25"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</row>
    <row r="290" spans="4:80" s="20" customFormat="1" x14ac:dyDescent="0.25"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</row>
    <row r="291" spans="4:80" s="20" customFormat="1" x14ac:dyDescent="0.25"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</row>
    <row r="292" spans="4:80" s="20" customFormat="1" x14ac:dyDescent="0.25"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</row>
    <row r="293" spans="4:80" s="20" customFormat="1" x14ac:dyDescent="0.25"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</row>
    <row r="294" spans="4:80" s="20" customFormat="1" x14ac:dyDescent="0.25"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</row>
    <row r="295" spans="4:80" s="20" customFormat="1" x14ac:dyDescent="0.25"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</row>
    <row r="296" spans="4:80" s="20" customFormat="1" x14ac:dyDescent="0.25"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</row>
    <row r="297" spans="4:80" s="20" customFormat="1" x14ac:dyDescent="0.25"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</row>
    <row r="298" spans="4:80" s="20" customFormat="1" x14ac:dyDescent="0.25">
      <c r="D298"/>
      <c r="E298"/>
      <c r="F298"/>
      <c r="G298"/>
      <c r="H298" s="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</row>
    <row r="299" spans="4:80" s="20" customFormat="1" x14ac:dyDescent="0.25">
      <c r="D299"/>
      <c r="E299"/>
      <c r="F299"/>
      <c r="G299"/>
      <c r="H299" s="8"/>
      <c r="I299" s="8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</row>
    <row r="300" spans="4:80" s="20" customFormat="1" x14ac:dyDescent="0.25"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</row>
    <row r="301" spans="4:80" s="20" customFormat="1" x14ac:dyDescent="0.25">
      <c r="D301"/>
      <c r="E301"/>
      <c r="F301"/>
      <c r="G301"/>
      <c r="H301" s="8"/>
      <c r="I301" s="8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</row>
    <row r="302" spans="4:80" s="20" customFormat="1" x14ac:dyDescent="0.25"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</row>
    <row r="303" spans="4:80" s="20" customFormat="1" x14ac:dyDescent="0.25"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</row>
    <row r="304" spans="4:80" s="20" customFormat="1" x14ac:dyDescent="0.25"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</row>
    <row r="305" spans="4:80" s="20" customFormat="1" x14ac:dyDescent="0.25"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</row>
    <row r="306" spans="4:80" s="20" customFormat="1" x14ac:dyDescent="0.25"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</row>
    <row r="307" spans="4:80" s="20" customFormat="1" x14ac:dyDescent="0.25"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</row>
    <row r="308" spans="4:80" s="20" customFormat="1" x14ac:dyDescent="0.25"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</row>
    <row r="309" spans="4:80" s="20" customFormat="1" x14ac:dyDescent="0.25">
      <c r="D309"/>
      <c r="E309"/>
      <c r="F309"/>
      <c r="G309"/>
      <c r="H309" s="8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</row>
    <row r="310" spans="4:80" s="20" customFormat="1" x14ac:dyDescent="0.25"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</row>
    <row r="311" spans="4:80" s="20" customFormat="1" x14ac:dyDescent="0.25">
      <c r="D311"/>
      <c r="E311"/>
      <c r="F311"/>
      <c r="G311"/>
      <c r="H311" s="8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</row>
    <row r="312" spans="4:80" s="20" customFormat="1" x14ac:dyDescent="0.25"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</row>
    <row r="313" spans="4:80" s="20" customFormat="1" x14ac:dyDescent="0.25">
      <c r="D313"/>
      <c r="E313"/>
      <c r="F313"/>
      <c r="G313"/>
      <c r="H313" s="8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</row>
    <row r="314" spans="4:80" s="20" customFormat="1" x14ac:dyDescent="0.25"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</row>
    <row r="315" spans="4:80" s="20" customFormat="1" x14ac:dyDescent="0.25"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</row>
    <row r="316" spans="4:80" s="20" customFormat="1" x14ac:dyDescent="0.25"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</row>
    <row r="317" spans="4:80" s="20" customFormat="1" x14ac:dyDescent="0.25"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</row>
    <row r="318" spans="4:80" s="20" customFormat="1" x14ac:dyDescent="0.25"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</row>
    <row r="319" spans="4:80" s="20" customFormat="1" x14ac:dyDescent="0.25"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</row>
    <row r="320" spans="4:80" s="20" customFormat="1" x14ac:dyDescent="0.25"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</row>
    <row r="321" spans="4:80" s="20" customFormat="1" x14ac:dyDescent="0.25">
      <c r="D321"/>
      <c r="E321"/>
      <c r="F321"/>
      <c r="G321"/>
      <c r="H321" s="8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</row>
    <row r="322" spans="4:80" s="20" customFormat="1" x14ac:dyDescent="0.25"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</row>
    <row r="323" spans="4:80" s="20" customFormat="1" x14ac:dyDescent="0.25">
      <c r="D323"/>
      <c r="E323"/>
      <c r="F323"/>
      <c r="G323"/>
      <c r="H323" s="8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</row>
    <row r="324" spans="4:80" s="20" customFormat="1" x14ac:dyDescent="0.25"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</row>
    <row r="325" spans="4:80" s="20" customFormat="1" x14ac:dyDescent="0.25">
      <c r="D325"/>
      <c r="E325"/>
      <c r="F325"/>
      <c r="G325"/>
      <c r="H325" s="8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</row>
    <row r="326" spans="4:80" s="20" customFormat="1" x14ac:dyDescent="0.25"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</row>
    <row r="327" spans="4:80" s="20" customFormat="1" x14ac:dyDescent="0.25"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</row>
    <row r="328" spans="4:80" s="20" customFormat="1" x14ac:dyDescent="0.25"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</row>
    <row r="329" spans="4:80" s="20" customFormat="1" x14ac:dyDescent="0.25"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</row>
    <row r="330" spans="4:80" s="20" customFormat="1" x14ac:dyDescent="0.25"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</row>
    <row r="331" spans="4:80" s="20" customFormat="1" x14ac:dyDescent="0.25"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</row>
    <row r="332" spans="4:80" s="20" customFormat="1" x14ac:dyDescent="0.25"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</row>
    <row r="333" spans="4:80" s="20" customFormat="1" x14ac:dyDescent="0.25">
      <c r="D333"/>
      <c r="E333"/>
      <c r="F333"/>
      <c r="G333"/>
      <c r="H333" s="8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</row>
    <row r="334" spans="4:80" s="20" customFormat="1" x14ac:dyDescent="0.25"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</row>
    <row r="335" spans="4:80" s="20" customFormat="1" x14ac:dyDescent="0.25">
      <c r="D335"/>
      <c r="E335"/>
      <c r="F335"/>
      <c r="G335"/>
      <c r="H335" s="8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</row>
    <row r="336" spans="4:80" s="20" customFormat="1" x14ac:dyDescent="0.25"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</row>
    <row r="337" spans="4:80" s="20" customFormat="1" x14ac:dyDescent="0.25">
      <c r="D337"/>
      <c r="E337"/>
      <c r="F337"/>
      <c r="G337"/>
      <c r="H337" s="8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</row>
    <row r="338" spans="4:80" s="20" customFormat="1" x14ac:dyDescent="0.25"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</row>
    <row r="339" spans="4:80" s="20" customFormat="1" x14ac:dyDescent="0.25"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</row>
    <row r="340" spans="4:80" s="20" customFormat="1" x14ac:dyDescent="0.25"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</row>
    <row r="341" spans="4:80" s="20" customFormat="1" x14ac:dyDescent="0.25"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</row>
    <row r="342" spans="4:80" s="20" customFormat="1" x14ac:dyDescent="0.25"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</row>
    <row r="343" spans="4:80" s="20" customFormat="1" x14ac:dyDescent="0.25"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</row>
    <row r="344" spans="4:80" s="20" customFormat="1" x14ac:dyDescent="0.25"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</row>
    <row r="345" spans="4:80" s="20" customFormat="1" x14ac:dyDescent="0.25"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</row>
    <row r="346" spans="4:80" s="20" customFormat="1" x14ac:dyDescent="0.25"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</row>
    <row r="347" spans="4:80" s="20" customFormat="1" x14ac:dyDescent="0.25">
      <c r="D347"/>
      <c r="E347"/>
      <c r="F347"/>
      <c r="G347"/>
      <c r="H347" s="8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</row>
    <row r="348" spans="4:80" s="20" customFormat="1" x14ac:dyDescent="0.25">
      <c r="D348"/>
      <c r="E348"/>
      <c r="F348"/>
      <c r="G348"/>
      <c r="H348" s="8"/>
      <c r="I348" s="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</row>
    <row r="349" spans="4:80" s="20" customFormat="1" x14ac:dyDescent="0.25"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</row>
    <row r="350" spans="4:80" s="20" customFormat="1" x14ac:dyDescent="0.25">
      <c r="D350"/>
      <c r="E350"/>
      <c r="F350"/>
      <c r="G350"/>
      <c r="H350" s="8"/>
      <c r="I350" s="8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</row>
    <row r="351" spans="4:80" s="20" customFormat="1" x14ac:dyDescent="0.25"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</row>
    <row r="352" spans="4:80" s="20" customFormat="1" x14ac:dyDescent="0.25"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</row>
    <row r="353" spans="4:80" s="20" customFormat="1" x14ac:dyDescent="0.25"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</row>
    <row r="354" spans="4:80" s="20" customFormat="1" x14ac:dyDescent="0.25"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</row>
    <row r="355" spans="4:80" s="20" customFormat="1" x14ac:dyDescent="0.25"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</row>
    <row r="356" spans="4:80" s="20" customFormat="1" x14ac:dyDescent="0.25"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</row>
    <row r="357" spans="4:80" s="20" customFormat="1" x14ac:dyDescent="0.25"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</row>
    <row r="358" spans="4:80" s="20" customFormat="1" x14ac:dyDescent="0.25">
      <c r="D358"/>
      <c r="E358"/>
      <c r="F358"/>
      <c r="G358"/>
      <c r="H358" s="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</row>
    <row r="359" spans="4:80" s="20" customFormat="1" x14ac:dyDescent="0.25"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</row>
    <row r="360" spans="4:80" s="20" customFormat="1" x14ac:dyDescent="0.25">
      <c r="D360"/>
      <c r="E360"/>
      <c r="F360"/>
      <c r="G360"/>
      <c r="H360" s="8"/>
      <c r="I360" s="8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</row>
    <row r="361" spans="4:80" s="20" customFormat="1" x14ac:dyDescent="0.25"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</row>
    <row r="362" spans="4:80" s="20" customFormat="1" x14ac:dyDescent="0.25">
      <c r="D362"/>
      <c r="E362"/>
      <c r="F362"/>
      <c r="G362"/>
      <c r="H362" s="8"/>
      <c r="I362" s="8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</row>
    <row r="363" spans="4:80" s="20" customFormat="1" x14ac:dyDescent="0.25"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</row>
    <row r="364" spans="4:80" s="20" customFormat="1" x14ac:dyDescent="0.25"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</row>
    <row r="365" spans="4:80" s="20" customFormat="1" x14ac:dyDescent="0.25"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</row>
    <row r="366" spans="4:80" s="20" customFormat="1" x14ac:dyDescent="0.25"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</row>
    <row r="367" spans="4:80" s="20" customFormat="1" x14ac:dyDescent="0.25"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</row>
    <row r="368" spans="4:80" s="20" customFormat="1" x14ac:dyDescent="0.25"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</row>
    <row r="369" spans="4:80" s="20" customFormat="1" x14ac:dyDescent="0.25"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</row>
    <row r="370" spans="4:80" s="20" customFormat="1" x14ac:dyDescent="0.25">
      <c r="D370"/>
      <c r="E370"/>
      <c r="F370"/>
      <c r="G370"/>
      <c r="H370" s="8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</row>
    <row r="371" spans="4:80" s="20" customFormat="1" x14ac:dyDescent="0.25"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</row>
    <row r="372" spans="4:80" s="20" customFormat="1" x14ac:dyDescent="0.25">
      <c r="D372"/>
      <c r="E372"/>
      <c r="F372"/>
      <c r="G372"/>
      <c r="H372" s="8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</row>
    <row r="373" spans="4:80" s="20" customFormat="1" x14ac:dyDescent="0.25"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</row>
    <row r="374" spans="4:80" s="20" customFormat="1" x14ac:dyDescent="0.25">
      <c r="D374"/>
      <c r="E374"/>
      <c r="F374"/>
      <c r="G374"/>
      <c r="H374" s="8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</row>
    <row r="375" spans="4:80" s="20" customFormat="1" x14ac:dyDescent="0.25"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</row>
    <row r="376" spans="4:80" s="20" customFormat="1" x14ac:dyDescent="0.25"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</row>
    <row r="377" spans="4:80" s="20" customFormat="1" x14ac:dyDescent="0.25"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</row>
    <row r="378" spans="4:80" s="20" customFormat="1" x14ac:dyDescent="0.25"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</row>
    <row r="379" spans="4:80" s="20" customFormat="1" x14ac:dyDescent="0.25"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</row>
    <row r="380" spans="4:80" s="20" customFormat="1" x14ac:dyDescent="0.25"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</row>
    <row r="381" spans="4:80" s="20" customFormat="1" x14ac:dyDescent="0.25"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</row>
    <row r="382" spans="4:80" s="20" customFormat="1" x14ac:dyDescent="0.25">
      <c r="D382"/>
      <c r="E382"/>
      <c r="F382"/>
      <c r="G382"/>
      <c r="H382" s="8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</row>
    <row r="383" spans="4:80" s="20" customFormat="1" x14ac:dyDescent="0.25"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</row>
    <row r="384" spans="4:80" s="20" customFormat="1" x14ac:dyDescent="0.25">
      <c r="D384"/>
      <c r="E384"/>
      <c r="F384"/>
      <c r="G384"/>
      <c r="H384" s="8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</row>
    <row r="385" spans="4:80" s="20" customFormat="1" x14ac:dyDescent="0.25"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</row>
    <row r="386" spans="4:80" s="20" customFormat="1" x14ac:dyDescent="0.25">
      <c r="D386"/>
      <c r="E386"/>
      <c r="F386"/>
      <c r="G386"/>
      <c r="H386" s="8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</row>
    <row r="387" spans="4:80" s="20" customFormat="1" x14ac:dyDescent="0.25"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</row>
    <row r="388" spans="4:80" s="20" customFormat="1" x14ac:dyDescent="0.25"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</row>
    <row r="389" spans="4:80" s="20" customFormat="1" x14ac:dyDescent="0.25"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</row>
    <row r="390" spans="4:80" s="20" customFormat="1" x14ac:dyDescent="0.25"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</row>
    <row r="391" spans="4:80" s="20" customFormat="1" x14ac:dyDescent="0.25"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</row>
    <row r="392" spans="4:80" s="20" customFormat="1" x14ac:dyDescent="0.25"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</row>
    <row r="393" spans="4:80" s="20" customFormat="1" x14ac:dyDescent="0.25"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</row>
    <row r="394" spans="4:80" s="20" customFormat="1" x14ac:dyDescent="0.25"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</row>
    <row r="395" spans="4:80" s="20" customFormat="1" x14ac:dyDescent="0.25"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</row>
    <row r="396" spans="4:80" s="20" customFormat="1" x14ac:dyDescent="0.25">
      <c r="D396"/>
      <c r="E396"/>
      <c r="F396"/>
      <c r="G396"/>
      <c r="H396" s="8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</row>
    <row r="397" spans="4:80" s="20" customFormat="1" x14ac:dyDescent="0.25">
      <c r="D397"/>
      <c r="E397"/>
      <c r="F397"/>
      <c r="G397"/>
      <c r="H397" s="8"/>
      <c r="I397" s="8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</row>
    <row r="398" spans="4:80" s="20" customFormat="1" x14ac:dyDescent="0.25"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</row>
    <row r="399" spans="4:80" s="20" customFormat="1" x14ac:dyDescent="0.25">
      <c r="D399"/>
      <c r="E399"/>
      <c r="F399"/>
      <c r="G399"/>
      <c r="H399" s="8"/>
      <c r="I399" s="8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</row>
    <row r="400" spans="4:80" s="20" customFormat="1" x14ac:dyDescent="0.25"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</row>
    <row r="401" spans="4:80" s="20" customFormat="1" x14ac:dyDescent="0.25"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</row>
    <row r="402" spans="4:80" s="20" customFormat="1" x14ac:dyDescent="0.25"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</row>
    <row r="403" spans="4:80" s="20" customFormat="1" x14ac:dyDescent="0.25"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</row>
    <row r="404" spans="4:80" s="20" customFormat="1" x14ac:dyDescent="0.25"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</row>
    <row r="405" spans="4:80" s="20" customFormat="1" x14ac:dyDescent="0.25"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</row>
    <row r="406" spans="4:80" s="20" customFormat="1" x14ac:dyDescent="0.25"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</row>
    <row r="407" spans="4:80" s="20" customFormat="1" x14ac:dyDescent="0.25">
      <c r="D407"/>
      <c r="E407"/>
      <c r="F407"/>
      <c r="G407"/>
      <c r="H407" s="8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</row>
    <row r="408" spans="4:80" s="20" customFormat="1" x14ac:dyDescent="0.25"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</row>
    <row r="409" spans="4:80" s="20" customFormat="1" x14ac:dyDescent="0.25">
      <c r="D409"/>
      <c r="E409"/>
      <c r="F409"/>
      <c r="G409"/>
      <c r="H409" s="8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</row>
    <row r="410" spans="4:80" s="20" customFormat="1" x14ac:dyDescent="0.25"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</row>
    <row r="411" spans="4:80" s="20" customFormat="1" x14ac:dyDescent="0.25">
      <c r="D411"/>
      <c r="E411"/>
      <c r="F411"/>
      <c r="G411"/>
      <c r="H411" s="8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</row>
    <row r="412" spans="4:80" s="20" customFormat="1" x14ac:dyDescent="0.25"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</row>
    <row r="413" spans="4:80" s="20" customFormat="1" x14ac:dyDescent="0.25"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</row>
    <row r="414" spans="4:80" s="20" customFormat="1" x14ac:dyDescent="0.25"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</row>
    <row r="415" spans="4:80" s="20" customFormat="1" x14ac:dyDescent="0.25"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</row>
    <row r="416" spans="4:80" s="20" customFormat="1" x14ac:dyDescent="0.25"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</row>
    <row r="417" spans="4:80" s="20" customFormat="1" x14ac:dyDescent="0.25"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</row>
    <row r="418" spans="4:80" s="20" customFormat="1" x14ac:dyDescent="0.25"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</row>
    <row r="419" spans="4:80" s="20" customFormat="1" x14ac:dyDescent="0.25">
      <c r="D419"/>
      <c r="E419"/>
      <c r="F419"/>
      <c r="G419"/>
      <c r="H419" s="8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</row>
    <row r="420" spans="4:80" s="20" customFormat="1" x14ac:dyDescent="0.25"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</row>
    <row r="421" spans="4:80" s="20" customFormat="1" x14ac:dyDescent="0.25">
      <c r="D421"/>
      <c r="E421"/>
      <c r="F421"/>
      <c r="G421"/>
      <c r="H421" s="8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</row>
    <row r="422" spans="4:80" s="20" customFormat="1" x14ac:dyDescent="0.25"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</row>
    <row r="423" spans="4:80" s="20" customFormat="1" x14ac:dyDescent="0.25">
      <c r="D423"/>
      <c r="E423"/>
      <c r="F423"/>
      <c r="G423"/>
      <c r="H423" s="8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</row>
    <row r="424" spans="4:80" s="20" customFormat="1" x14ac:dyDescent="0.25"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</row>
    <row r="425" spans="4:80" s="20" customFormat="1" x14ac:dyDescent="0.25"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</row>
    <row r="426" spans="4:80" s="20" customFormat="1" x14ac:dyDescent="0.25"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</row>
    <row r="427" spans="4:80" s="20" customFormat="1" x14ac:dyDescent="0.25"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</row>
    <row r="428" spans="4:80" s="20" customFormat="1" x14ac:dyDescent="0.25"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</row>
    <row r="429" spans="4:80" s="20" customFormat="1" x14ac:dyDescent="0.25"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</row>
    <row r="430" spans="4:80" s="20" customFormat="1" x14ac:dyDescent="0.25"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</row>
    <row r="431" spans="4:80" s="20" customFormat="1" x14ac:dyDescent="0.25">
      <c r="D431"/>
      <c r="E431"/>
      <c r="F431"/>
      <c r="G431"/>
      <c r="H431" s="8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</row>
    <row r="432" spans="4:80" s="20" customFormat="1" x14ac:dyDescent="0.25"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</row>
    <row r="433" spans="4:80" s="20" customFormat="1" x14ac:dyDescent="0.25">
      <c r="D433"/>
      <c r="E433"/>
      <c r="F433"/>
      <c r="G433"/>
      <c r="H433" s="8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</row>
    <row r="434" spans="4:80" s="20" customFormat="1" x14ac:dyDescent="0.25"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</row>
    <row r="435" spans="4:80" s="20" customFormat="1" x14ac:dyDescent="0.25">
      <c r="D435"/>
      <c r="E435"/>
      <c r="F435"/>
      <c r="G435"/>
      <c r="H435" s="8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</row>
    <row r="436" spans="4:80" s="20" customFormat="1" x14ac:dyDescent="0.25"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</row>
    <row r="437" spans="4:80" s="20" customFormat="1" x14ac:dyDescent="0.25"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</row>
    <row r="438" spans="4:80" s="20" customFormat="1" x14ac:dyDescent="0.25"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</row>
    <row r="439" spans="4:80" s="20" customFormat="1" x14ac:dyDescent="0.25"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</row>
    <row r="440" spans="4:80" s="20" customFormat="1" x14ac:dyDescent="0.25"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</row>
    <row r="441" spans="4:80" s="20" customFormat="1" x14ac:dyDescent="0.25"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</row>
    <row r="442" spans="4:80" s="20" customFormat="1" x14ac:dyDescent="0.25"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</row>
    <row r="443" spans="4:80" s="20" customFormat="1" x14ac:dyDescent="0.25"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</row>
    <row r="444" spans="4:80" s="20" customFormat="1" x14ac:dyDescent="0.25"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</row>
    <row r="445" spans="4:80" s="20" customFormat="1" x14ac:dyDescent="0.25">
      <c r="D445"/>
      <c r="E445"/>
      <c r="F445"/>
      <c r="G445"/>
      <c r="H445" s="8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</row>
    <row r="446" spans="4:80" s="20" customFormat="1" x14ac:dyDescent="0.25">
      <c r="D446"/>
      <c r="E446"/>
      <c r="F446"/>
      <c r="G446"/>
      <c r="H446" s="8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</row>
    <row r="447" spans="4:80" s="20" customFormat="1" x14ac:dyDescent="0.25"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</row>
    <row r="448" spans="4:80" s="20" customFormat="1" x14ac:dyDescent="0.25">
      <c r="D448"/>
      <c r="E448"/>
      <c r="F448"/>
      <c r="G448"/>
      <c r="H448" s="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</row>
    <row r="449" spans="4:80" s="20" customFormat="1" x14ac:dyDescent="0.25"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</row>
    <row r="450" spans="4:80" s="20" customFormat="1" x14ac:dyDescent="0.25"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</row>
    <row r="451" spans="4:80" s="20" customFormat="1" x14ac:dyDescent="0.25"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</row>
    <row r="452" spans="4:80" s="20" customFormat="1" x14ac:dyDescent="0.25"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</row>
    <row r="453" spans="4:80" s="20" customFormat="1" x14ac:dyDescent="0.25"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</row>
    <row r="454" spans="4:80" s="20" customFormat="1" x14ac:dyDescent="0.25"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</row>
    <row r="455" spans="4:80" s="20" customFormat="1" x14ac:dyDescent="0.25"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</row>
    <row r="456" spans="4:80" s="20" customFormat="1" x14ac:dyDescent="0.25">
      <c r="D456"/>
      <c r="E456"/>
      <c r="F456"/>
      <c r="G456"/>
      <c r="H456" s="8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</row>
    <row r="457" spans="4:80" s="20" customFormat="1" x14ac:dyDescent="0.25"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</row>
    <row r="458" spans="4:80" s="20" customFormat="1" x14ac:dyDescent="0.25">
      <c r="D458"/>
      <c r="E458"/>
      <c r="F458"/>
      <c r="G458"/>
      <c r="H458" s="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</row>
    <row r="459" spans="4:80" s="20" customFormat="1" x14ac:dyDescent="0.25"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</row>
    <row r="460" spans="4:80" s="20" customFormat="1" x14ac:dyDescent="0.25">
      <c r="D460"/>
      <c r="E460"/>
      <c r="F460"/>
      <c r="G460"/>
      <c r="H460" s="8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</row>
    <row r="461" spans="4:80" s="20" customFormat="1" x14ac:dyDescent="0.25"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</row>
    <row r="462" spans="4:80" s="20" customFormat="1" x14ac:dyDescent="0.25"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</row>
    <row r="463" spans="4:80" s="20" customFormat="1" x14ac:dyDescent="0.25"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</row>
    <row r="464" spans="4:80" s="20" customFormat="1" x14ac:dyDescent="0.25"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</row>
    <row r="465" spans="4:80" s="20" customFormat="1" x14ac:dyDescent="0.25"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</row>
    <row r="466" spans="4:80" s="20" customFormat="1" x14ac:dyDescent="0.25"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</row>
    <row r="467" spans="4:80" s="20" customFormat="1" x14ac:dyDescent="0.25"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</row>
    <row r="468" spans="4:80" s="20" customFormat="1" x14ac:dyDescent="0.25">
      <c r="D468"/>
      <c r="E468"/>
      <c r="F468"/>
      <c r="G468"/>
      <c r="H468" s="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</row>
    <row r="469" spans="4:80" s="20" customFormat="1" x14ac:dyDescent="0.25"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</row>
    <row r="470" spans="4:80" s="20" customFormat="1" x14ac:dyDescent="0.25">
      <c r="D470"/>
      <c r="E470"/>
      <c r="F470"/>
      <c r="G470"/>
      <c r="H470" s="8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</row>
    <row r="471" spans="4:80" s="20" customFormat="1" x14ac:dyDescent="0.25"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</row>
    <row r="472" spans="4:80" s="20" customFormat="1" x14ac:dyDescent="0.25">
      <c r="D472"/>
      <c r="E472"/>
      <c r="F472"/>
      <c r="G472"/>
      <c r="H472" s="8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</row>
    <row r="473" spans="4:80" s="20" customFormat="1" x14ac:dyDescent="0.25"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</row>
    <row r="474" spans="4:80" s="20" customFormat="1" x14ac:dyDescent="0.25"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</row>
    <row r="475" spans="4:80" s="20" customFormat="1" x14ac:dyDescent="0.25"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</row>
    <row r="476" spans="4:80" s="20" customFormat="1" x14ac:dyDescent="0.25"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</row>
    <row r="477" spans="4:80" s="20" customFormat="1" x14ac:dyDescent="0.25"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</row>
    <row r="478" spans="4:80" s="20" customFormat="1" x14ac:dyDescent="0.25"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</row>
    <row r="479" spans="4:80" s="20" customFormat="1" x14ac:dyDescent="0.25"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</row>
    <row r="480" spans="4:80" s="20" customFormat="1" x14ac:dyDescent="0.25">
      <c r="D480"/>
      <c r="E480"/>
      <c r="F480"/>
      <c r="G480"/>
      <c r="H480" s="8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</row>
    <row r="481" spans="4:80" s="20" customFormat="1" x14ac:dyDescent="0.25"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</row>
    <row r="482" spans="4:80" s="20" customFormat="1" x14ac:dyDescent="0.25">
      <c r="D482"/>
      <c r="E482"/>
      <c r="F482"/>
      <c r="G482"/>
      <c r="H482" s="8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</row>
    <row r="483" spans="4:80" s="20" customFormat="1" x14ac:dyDescent="0.25"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</row>
    <row r="484" spans="4:80" s="20" customFormat="1" x14ac:dyDescent="0.25">
      <c r="D484"/>
      <c r="E484"/>
      <c r="F484"/>
      <c r="G484"/>
      <c r="H484" s="8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</row>
    <row r="485" spans="4:80" s="20" customFormat="1" x14ac:dyDescent="0.25"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</row>
    <row r="486" spans="4:80" s="20" customFormat="1" x14ac:dyDescent="0.25"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</row>
    <row r="487" spans="4:80" s="20" customFormat="1" x14ac:dyDescent="0.25"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</row>
    <row r="488" spans="4:80" s="20" customFormat="1" x14ac:dyDescent="0.25"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</row>
    <row r="489" spans="4:80" s="20" customFormat="1" x14ac:dyDescent="0.25"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</row>
    <row r="490" spans="4:80" s="20" customFormat="1" x14ac:dyDescent="0.25"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</row>
    <row r="491" spans="4:80" s="20" customFormat="1" x14ac:dyDescent="0.25"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</row>
    <row r="492" spans="4:80" s="20" customFormat="1" x14ac:dyDescent="0.25"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</row>
    <row r="493" spans="4:80" s="20" customFormat="1" x14ac:dyDescent="0.25"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</row>
    <row r="494" spans="4:80" s="20" customFormat="1" x14ac:dyDescent="0.25">
      <c r="D494"/>
      <c r="E494"/>
      <c r="F494"/>
      <c r="G494"/>
      <c r="H494" s="8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</row>
    <row r="495" spans="4:80" s="20" customFormat="1" x14ac:dyDescent="0.25">
      <c r="D495"/>
      <c r="E495"/>
      <c r="F495"/>
      <c r="G495"/>
      <c r="H495" s="8"/>
      <c r="I495" s="8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</row>
    <row r="496" spans="4:80" s="20" customFormat="1" x14ac:dyDescent="0.25"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</row>
    <row r="497" spans="4:80" s="20" customFormat="1" x14ac:dyDescent="0.25">
      <c r="D497"/>
      <c r="E497"/>
      <c r="F497"/>
      <c r="G497"/>
      <c r="H497" s="8"/>
      <c r="I497" s="8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</row>
    <row r="498" spans="4:80" s="20" customFormat="1" x14ac:dyDescent="0.25"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</row>
    <row r="499" spans="4:80" s="20" customFormat="1" x14ac:dyDescent="0.25"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</row>
    <row r="500" spans="4:80" s="20" customFormat="1" x14ac:dyDescent="0.25"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</row>
    <row r="501" spans="4:80" s="20" customFormat="1" x14ac:dyDescent="0.25"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</row>
    <row r="502" spans="4:80" s="20" customFormat="1" x14ac:dyDescent="0.25"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</row>
    <row r="503" spans="4:80" s="20" customFormat="1" x14ac:dyDescent="0.25"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</row>
    <row r="504" spans="4:80" s="20" customFormat="1" x14ac:dyDescent="0.25"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</row>
    <row r="505" spans="4:80" s="20" customFormat="1" x14ac:dyDescent="0.25">
      <c r="D505"/>
      <c r="E505"/>
      <c r="F505"/>
      <c r="G505"/>
      <c r="H505" s="8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</row>
    <row r="506" spans="4:80" s="20" customFormat="1" x14ac:dyDescent="0.25"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</row>
    <row r="507" spans="4:80" s="20" customFormat="1" x14ac:dyDescent="0.25">
      <c r="D507"/>
      <c r="E507"/>
      <c r="F507"/>
      <c r="G507"/>
      <c r="H507" s="8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</row>
    <row r="508" spans="4:80" s="20" customFormat="1" x14ac:dyDescent="0.25"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</row>
    <row r="509" spans="4:80" s="20" customFormat="1" x14ac:dyDescent="0.25">
      <c r="D509"/>
      <c r="E509"/>
      <c r="F509"/>
      <c r="G509"/>
      <c r="H509" s="8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</row>
    <row r="510" spans="4:80" s="20" customFormat="1" x14ac:dyDescent="0.25"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</row>
    <row r="511" spans="4:80" s="20" customFormat="1" x14ac:dyDescent="0.25"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</row>
    <row r="512" spans="4:80" s="20" customFormat="1" x14ac:dyDescent="0.25"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</row>
    <row r="513" spans="4:80" s="20" customFormat="1" x14ac:dyDescent="0.25"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</row>
    <row r="514" spans="4:80" s="20" customFormat="1" x14ac:dyDescent="0.25"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</row>
    <row r="515" spans="4:80" s="20" customFormat="1" x14ac:dyDescent="0.25"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</row>
    <row r="516" spans="4:80" s="20" customFormat="1" x14ac:dyDescent="0.25"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</row>
    <row r="517" spans="4:80" s="20" customFormat="1" x14ac:dyDescent="0.25">
      <c r="D517"/>
      <c r="E517"/>
      <c r="F517"/>
      <c r="G517"/>
      <c r="H517" s="8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</row>
    <row r="518" spans="4:80" s="20" customFormat="1" x14ac:dyDescent="0.25"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</row>
    <row r="519" spans="4:80" s="20" customFormat="1" x14ac:dyDescent="0.25">
      <c r="D519"/>
      <c r="E519"/>
      <c r="F519"/>
      <c r="G519"/>
      <c r="H519" s="8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</row>
    <row r="520" spans="4:80" s="20" customFormat="1" x14ac:dyDescent="0.25"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</row>
    <row r="521" spans="4:80" s="20" customFormat="1" x14ac:dyDescent="0.25">
      <c r="D521"/>
      <c r="E521"/>
      <c r="F521"/>
      <c r="G521"/>
      <c r="H521" s="8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</row>
    <row r="522" spans="4:80" s="20" customFormat="1" x14ac:dyDescent="0.25"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</row>
    <row r="523" spans="4:80" s="20" customFormat="1" x14ac:dyDescent="0.25"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</row>
    <row r="524" spans="4:80" s="20" customFormat="1" x14ac:dyDescent="0.25"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</row>
    <row r="525" spans="4:80" s="20" customFormat="1" x14ac:dyDescent="0.25"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</row>
    <row r="526" spans="4:80" s="20" customFormat="1" x14ac:dyDescent="0.25"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</row>
    <row r="527" spans="4:80" s="20" customFormat="1" x14ac:dyDescent="0.25"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</row>
    <row r="528" spans="4:80" s="20" customFormat="1" x14ac:dyDescent="0.25"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</row>
    <row r="529" spans="4:80" s="20" customFormat="1" x14ac:dyDescent="0.25">
      <c r="D529"/>
      <c r="E529"/>
      <c r="F529"/>
      <c r="G529"/>
      <c r="H529" s="8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</row>
    <row r="530" spans="4:80" s="20" customFormat="1" x14ac:dyDescent="0.25"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</row>
    <row r="531" spans="4:80" s="20" customFormat="1" x14ac:dyDescent="0.25">
      <c r="D531"/>
      <c r="E531"/>
      <c r="F531"/>
      <c r="G531"/>
      <c r="H531" s="8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</row>
    <row r="532" spans="4:80" s="20" customFormat="1" x14ac:dyDescent="0.25"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</row>
    <row r="533" spans="4:80" s="20" customFormat="1" x14ac:dyDescent="0.25">
      <c r="D533"/>
      <c r="E533"/>
      <c r="F533"/>
      <c r="G533"/>
      <c r="H533" s="8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</row>
    <row r="534" spans="4:80" s="20" customFormat="1" x14ac:dyDescent="0.25"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</row>
    <row r="535" spans="4:80" s="20" customFormat="1" x14ac:dyDescent="0.25"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</row>
    <row r="536" spans="4:80" s="20" customFormat="1" x14ac:dyDescent="0.25"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</row>
    <row r="537" spans="4:80" s="20" customFormat="1" x14ac:dyDescent="0.25"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</row>
    <row r="538" spans="4:80" s="20" customFormat="1" x14ac:dyDescent="0.25"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</row>
    <row r="539" spans="4:80" s="20" customFormat="1" x14ac:dyDescent="0.25"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</row>
    <row r="540" spans="4:80" s="20" customFormat="1" x14ac:dyDescent="0.25"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</row>
    <row r="541" spans="4:80" s="20" customFormat="1" x14ac:dyDescent="0.25"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</row>
    <row r="542" spans="4:80" s="20" customFormat="1" x14ac:dyDescent="0.25"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</row>
    <row r="543" spans="4:80" s="20" customFormat="1" x14ac:dyDescent="0.25">
      <c r="D543"/>
      <c r="E543"/>
      <c r="F543"/>
      <c r="G543"/>
      <c r="H543" s="8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</row>
    <row r="544" spans="4:80" s="20" customFormat="1" x14ac:dyDescent="0.25">
      <c r="D544"/>
      <c r="E544"/>
      <c r="F544"/>
      <c r="G544"/>
      <c r="H544" s="8"/>
      <c r="I544" s="8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</row>
    <row r="545" spans="4:80" s="20" customFormat="1" x14ac:dyDescent="0.25"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</row>
    <row r="546" spans="4:80" s="20" customFormat="1" x14ac:dyDescent="0.25">
      <c r="D546"/>
      <c r="E546"/>
      <c r="F546"/>
      <c r="G546"/>
      <c r="H546" s="8"/>
      <c r="I546" s="8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</row>
    <row r="547" spans="4:80" s="20" customFormat="1" x14ac:dyDescent="0.25"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</row>
    <row r="548" spans="4:80" s="20" customFormat="1" x14ac:dyDescent="0.25"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</row>
    <row r="549" spans="4:80" s="20" customFormat="1" x14ac:dyDescent="0.25"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</row>
    <row r="550" spans="4:80" s="20" customFormat="1" x14ac:dyDescent="0.25"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</row>
    <row r="551" spans="4:80" s="20" customFormat="1" x14ac:dyDescent="0.25"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</row>
    <row r="552" spans="4:80" s="20" customFormat="1" x14ac:dyDescent="0.25"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</row>
    <row r="553" spans="4:80" s="20" customFormat="1" x14ac:dyDescent="0.25"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</row>
    <row r="554" spans="4:80" s="20" customFormat="1" x14ac:dyDescent="0.25">
      <c r="D554"/>
      <c r="E554"/>
      <c r="F554"/>
      <c r="G554"/>
      <c r="H554" s="8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</row>
    <row r="555" spans="4:80" s="20" customFormat="1" x14ac:dyDescent="0.25"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</row>
    <row r="556" spans="4:80" s="20" customFormat="1" x14ac:dyDescent="0.25">
      <c r="D556"/>
      <c r="E556"/>
      <c r="F556"/>
      <c r="G556"/>
      <c r="H556" s="8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</row>
    <row r="557" spans="4:80" s="20" customFormat="1" x14ac:dyDescent="0.25"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</row>
    <row r="558" spans="4:80" s="20" customFormat="1" x14ac:dyDescent="0.25">
      <c r="D558"/>
      <c r="E558"/>
      <c r="F558"/>
      <c r="G558"/>
      <c r="H558" s="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</row>
    <row r="559" spans="4:80" s="20" customFormat="1" x14ac:dyDescent="0.25"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</row>
    <row r="560" spans="4:80" s="20" customFormat="1" x14ac:dyDescent="0.25"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</row>
    <row r="561" spans="4:80" s="20" customFormat="1" x14ac:dyDescent="0.25"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</row>
    <row r="562" spans="4:80" s="20" customFormat="1" x14ac:dyDescent="0.25"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</row>
    <row r="563" spans="4:80" s="20" customFormat="1" x14ac:dyDescent="0.25"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</row>
    <row r="564" spans="4:80" s="20" customFormat="1" x14ac:dyDescent="0.25"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</row>
    <row r="565" spans="4:80" s="20" customFormat="1" x14ac:dyDescent="0.25"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</row>
    <row r="566" spans="4:80" s="20" customFormat="1" x14ac:dyDescent="0.25">
      <c r="D566"/>
      <c r="E566"/>
      <c r="F566"/>
      <c r="G566"/>
      <c r="H566" s="8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</row>
    <row r="567" spans="4:80" s="20" customFormat="1" x14ac:dyDescent="0.25"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</row>
    <row r="568" spans="4:80" s="20" customFormat="1" x14ac:dyDescent="0.25">
      <c r="D568"/>
      <c r="E568"/>
      <c r="F568"/>
      <c r="G568"/>
      <c r="H568" s="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</row>
    <row r="569" spans="4:80" s="20" customFormat="1" x14ac:dyDescent="0.25"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</row>
    <row r="570" spans="4:80" s="20" customFormat="1" x14ac:dyDescent="0.25">
      <c r="D570"/>
      <c r="E570"/>
      <c r="F570"/>
      <c r="G570"/>
      <c r="H570" s="8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</row>
    <row r="571" spans="4:80" s="20" customFormat="1" x14ac:dyDescent="0.25"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</row>
    <row r="572" spans="4:80" s="20" customFormat="1" x14ac:dyDescent="0.25"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</row>
    <row r="573" spans="4:80" s="20" customFormat="1" x14ac:dyDescent="0.25"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</row>
    <row r="574" spans="4:80" s="20" customFormat="1" x14ac:dyDescent="0.25"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</row>
    <row r="575" spans="4:80" s="20" customFormat="1" x14ac:dyDescent="0.25"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</row>
    <row r="576" spans="4:80" s="20" customFormat="1" x14ac:dyDescent="0.25"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</row>
    <row r="577" spans="4:80" s="20" customFormat="1" x14ac:dyDescent="0.25"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</row>
    <row r="578" spans="4:80" s="20" customFormat="1" x14ac:dyDescent="0.25">
      <c r="D578"/>
      <c r="E578"/>
      <c r="F578"/>
      <c r="G578"/>
      <c r="H578" s="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</row>
    <row r="579" spans="4:80" s="20" customFormat="1" x14ac:dyDescent="0.25"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</row>
    <row r="580" spans="4:80" s="20" customFormat="1" x14ac:dyDescent="0.25">
      <c r="D580"/>
      <c r="E580"/>
      <c r="F580"/>
      <c r="G580"/>
      <c r="H580" s="8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</row>
    <row r="581" spans="4:80" s="20" customFormat="1" x14ac:dyDescent="0.25"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</row>
    <row r="582" spans="4:80" s="20" customFormat="1" x14ac:dyDescent="0.25">
      <c r="D582"/>
      <c r="E582"/>
      <c r="F582"/>
      <c r="G582"/>
      <c r="H582" s="8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</row>
    <row r="583" spans="4:80" s="20" customFormat="1" x14ac:dyDescent="0.25"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</row>
    <row r="584" spans="4:80" s="20" customFormat="1" x14ac:dyDescent="0.25"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</row>
    <row r="585" spans="4:80" s="20" customFormat="1" x14ac:dyDescent="0.25"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</row>
    <row r="586" spans="4:80" s="20" customFormat="1" x14ac:dyDescent="0.25"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</row>
    <row r="587" spans="4:80" s="20" customFormat="1" x14ac:dyDescent="0.25"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</row>
    <row r="588" spans="4:80" s="20" customFormat="1" x14ac:dyDescent="0.25"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</row>
    <row r="589" spans="4:80" s="20" customFormat="1" x14ac:dyDescent="0.25"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</row>
    <row r="590" spans="4:80" s="20" customFormat="1" x14ac:dyDescent="0.25"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</row>
    <row r="591" spans="4:80" s="20" customFormat="1" x14ac:dyDescent="0.25"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</row>
    <row r="592" spans="4:80" s="20" customFormat="1" x14ac:dyDescent="0.25">
      <c r="D592"/>
      <c r="E592"/>
      <c r="F592"/>
      <c r="G592"/>
      <c r="H592" s="8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</row>
    <row r="593" spans="4:80" s="20" customFormat="1" x14ac:dyDescent="0.25">
      <c r="D593"/>
      <c r="E593"/>
      <c r="F593"/>
      <c r="G593"/>
      <c r="H593" s="8"/>
      <c r="I593" s="8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</row>
    <row r="594" spans="4:80" s="20" customFormat="1" x14ac:dyDescent="0.25"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</row>
    <row r="595" spans="4:80" s="20" customFormat="1" x14ac:dyDescent="0.25">
      <c r="D595"/>
      <c r="E595"/>
      <c r="F595"/>
      <c r="G595"/>
      <c r="H595" s="8"/>
      <c r="I595" s="8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</row>
    <row r="596" spans="4:80" s="20" customFormat="1" x14ac:dyDescent="0.25"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</row>
    <row r="597" spans="4:80" s="20" customFormat="1" x14ac:dyDescent="0.25"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</row>
    <row r="598" spans="4:80" s="20" customFormat="1" x14ac:dyDescent="0.25"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</row>
    <row r="599" spans="4:80" s="20" customFormat="1" x14ac:dyDescent="0.25"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</row>
    <row r="600" spans="4:80" s="20" customFormat="1" x14ac:dyDescent="0.25"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</row>
    <row r="601" spans="4:80" s="20" customFormat="1" x14ac:dyDescent="0.25"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</row>
    <row r="602" spans="4:80" s="20" customFormat="1" x14ac:dyDescent="0.25"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</row>
    <row r="603" spans="4:80" s="20" customFormat="1" x14ac:dyDescent="0.25">
      <c r="D603"/>
      <c r="E603"/>
      <c r="F603"/>
      <c r="G603"/>
      <c r="H603" s="8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</row>
    <row r="604" spans="4:80" s="20" customFormat="1" x14ac:dyDescent="0.25"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</row>
    <row r="605" spans="4:80" s="20" customFormat="1" x14ac:dyDescent="0.25">
      <c r="D605"/>
      <c r="E605"/>
      <c r="F605"/>
      <c r="G605"/>
      <c r="H605" s="8"/>
      <c r="I605" s="8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</row>
    <row r="606" spans="4:80" s="20" customFormat="1" x14ac:dyDescent="0.25"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</row>
    <row r="607" spans="4:80" s="20" customFormat="1" x14ac:dyDescent="0.25">
      <c r="D607"/>
      <c r="E607"/>
      <c r="F607"/>
      <c r="G607"/>
      <c r="H607" s="8"/>
      <c r="I607" s="8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</row>
    <row r="608" spans="4:80" s="20" customFormat="1" x14ac:dyDescent="0.25"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</row>
    <row r="609" spans="4:80" s="20" customFormat="1" x14ac:dyDescent="0.25"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</row>
    <row r="610" spans="4:80" s="20" customFormat="1" x14ac:dyDescent="0.25"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</row>
    <row r="611" spans="4:80" s="20" customFormat="1" x14ac:dyDescent="0.25"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</row>
    <row r="612" spans="4:80" s="20" customFormat="1" x14ac:dyDescent="0.25"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</row>
    <row r="613" spans="4:80" s="20" customFormat="1" x14ac:dyDescent="0.25"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</row>
    <row r="614" spans="4:80" s="20" customFormat="1" x14ac:dyDescent="0.25"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</row>
    <row r="615" spans="4:80" s="20" customFormat="1" x14ac:dyDescent="0.25">
      <c r="D615"/>
      <c r="E615"/>
      <c r="F615"/>
      <c r="G615"/>
      <c r="H615" s="8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</row>
    <row r="616" spans="4:80" s="20" customFormat="1" x14ac:dyDescent="0.25"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</row>
    <row r="617" spans="4:80" s="20" customFormat="1" x14ac:dyDescent="0.25">
      <c r="D617"/>
      <c r="E617"/>
      <c r="F617"/>
      <c r="G617"/>
      <c r="H617" s="8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</row>
    <row r="618" spans="4:80" s="20" customFormat="1" x14ac:dyDescent="0.25"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</row>
    <row r="619" spans="4:80" s="20" customFormat="1" x14ac:dyDescent="0.25">
      <c r="D619"/>
      <c r="E619"/>
      <c r="F619"/>
      <c r="G619"/>
      <c r="H619" s="8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</row>
    <row r="620" spans="4:80" s="20" customFormat="1" x14ac:dyDescent="0.25"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</row>
    <row r="621" spans="4:80" s="20" customFormat="1" x14ac:dyDescent="0.25"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</row>
    <row r="622" spans="4:80" s="20" customFormat="1" x14ac:dyDescent="0.25"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</row>
    <row r="623" spans="4:80" s="20" customFormat="1" x14ac:dyDescent="0.25"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</row>
    <row r="624" spans="4:80" s="20" customFormat="1" x14ac:dyDescent="0.25"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</row>
    <row r="625" spans="4:80" s="20" customFormat="1" x14ac:dyDescent="0.25"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</row>
    <row r="626" spans="4:80" s="20" customFormat="1" x14ac:dyDescent="0.25"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</row>
    <row r="627" spans="4:80" s="20" customFormat="1" x14ac:dyDescent="0.25">
      <c r="D627"/>
      <c r="E627"/>
      <c r="F627"/>
      <c r="G627"/>
      <c r="H627" s="8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</row>
    <row r="628" spans="4:80" s="20" customFormat="1" x14ac:dyDescent="0.25"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</row>
    <row r="629" spans="4:80" s="20" customFormat="1" x14ac:dyDescent="0.25">
      <c r="D629"/>
      <c r="E629"/>
      <c r="F629"/>
      <c r="G629"/>
      <c r="H629" s="8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</row>
    <row r="630" spans="4:80" s="20" customFormat="1" x14ac:dyDescent="0.25"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</row>
    <row r="631" spans="4:80" s="20" customFormat="1" x14ac:dyDescent="0.25">
      <c r="D631"/>
      <c r="E631"/>
      <c r="F631"/>
      <c r="G631"/>
      <c r="H631" s="8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</row>
    <row r="632" spans="4:80" s="20" customFormat="1" x14ac:dyDescent="0.25"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</row>
    <row r="633" spans="4:80" s="20" customFormat="1" x14ac:dyDescent="0.25"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</row>
    <row r="634" spans="4:80" s="20" customFormat="1" x14ac:dyDescent="0.25"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</row>
    <row r="635" spans="4:80" s="20" customFormat="1" x14ac:dyDescent="0.25"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</row>
    <row r="636" spans="4:80" s="20" customFormat="1" x14ac:dyDescent="0.25"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</row>
    <row r="637" spans="4:80" s="20" customFormat="1" x14ac:dyDescent="0.25"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</row>
    <row r="638" spans="4:80" s="20" customFormat="1" x14ac:dyDescent="0.25"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</row>
    <row r="639" spans="4:80" s="20" customFormat="1" x14ac:dyDescent="0.25"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</row>
    <row r="640" spans="4:80" s="20" customFormat="1" x14ac:dyDescent="0.25"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</row>
    <row r="641" spans="4:80" s="20" customFormat="1" x14ac:dyDescent="0.25">
      <c r="D641"/>
      <c r="E641"/>
      <c r="F641"/>
      <c r="G641"/>
      <c r="H641" s="8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</row>
    <row r="642" spans="4:80" s="20" customFormat="1" x14ac:dyDescent="0.25">
      <c r="D642"/>
      <c r="E642"/>
      <c r="F642"/>
      <c r="G642"/>
      <c r="H642" s="8"/>
      <c r="I642" s="8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</row>
    <row r="643" spans="4:80" s="20" customFormat="1" x14ac:dyDescent="0.25"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</row>
    <row r="644" spans="4:80" s="20" customFormat="1" x14ac:dyDescent="0.25">
      <c r="D644"/>
      <c r="E644"/>
      <c r="F644"/>
      <c r="G644"/>
      <c r="H644" s="8"/>
      <c r="I644" s="8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</row>
    <row r="645" spans="4:80" s="20" customFormat="1" x14ac:dyDescent="0.25"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</row>
    <row r="646" spans="4:80" s="20" customFormat="1" x14ac:dyDescent="0.25"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</row>
    <row r="647" spans="4:80" s="20" customFormat="1" x14ac:dyDescent="0.25"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</row>
    <row r="648" spans="4:80" s="20" customFormat="1" x14ac:dyDescent="0.25"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</row>
    <row r="649" spans="4:80" s="20" customFormat="1" x14ac:dyDescent="0.25"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</row>
    <row r="650" spans="4:80" s="20" customFormat="1" x14ac:dyDescent="0.25"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</row>
    <row r="651" spans="4:80" s="20" customFormat="1" x14ac:dyDescent="0.25"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</row>
    <row r="652" spans="4:80" s="20" customFormat="1" x14ac:dyDescent="0.25">
      <c r="D652"/>
      <c r="E652"/>
      <c r="F652"/>
      <c r="G652"/>
      <c r="H652" s="8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</row>
    <row r="653" spans="4:80" s="20" customFormat="1" x14ac:dyDescent="0.25"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</row>
    <row r="654" spans="4:80" s="20" customFormat="1" x14ac:dyDescent="0.25">
      <c r="D654"/>
      <c r="E654"/>
      <c r="F654"/>
      <c r="G654"/>
      <c r="H654" s="8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</row>
    <row r="655" spans="4:80" s="20" customFormat="1" x14ac:dyDescent="0.25"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</row>
    <row r="656" spans="4:80" s="20" customFormat="1" x14ac:dyDescent="0.25">
      <c r="D656"/>
      <c r="E656"/>
      <c r="F656"/>
      <c r="G656"/>
      <c r="H656" s="8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</row>
    <row r="657" spans="4:80" s="20" customFormat="1" x14ac:dyDescent="0.25"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</row>
    <row r="658" spans="4:80" s="20" customFormat="1" x14ac:dyDescent="0.25"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</row>
    <row r="659" spans="4:80" s="20" customFormat="1" x14ac:dyDescent="0.25"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</row>
    <row r="660" spans="4:80" s="20" customFormat="1" x14ac:dyDescent="0.25"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</row>
    <row r="661" spans="4:80" s="20" customFormat="1" x14ac:dyDescent="0.25"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</row>
    <row r="662" spans="4:80" s="20" customFormat="1" x14ac:dyDescent="0.25"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</row>
    <row r="663" spans="4:80" s="20" customFormat="1" x14ac:dyDescent="0.25"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</row>
    <row r="664" spans="4:80" s="20" customFormat="1" x14ac:dyDescent="0.25">
      <c r="D664"/>
      <c r="E664"/>
      <c r="F664"/>
      <c r="G664"/>
      <c r="H664" s="8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</row>
    <row r="665" spans="4:80" s="20" customFormat="1" x14ac:dyDescent="0.25"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</row>
    <row r="666" spans="4:80" s="20" customFormat="1" x14ac:dyDescent="0.25">
      <c r="D666"/>
      <c r="E666"/>
      <c r="F666"/>
      <c r="G666"/>
      <c r="H666" s="8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</row>
    <row r="667" spans="4:80" s="20" customFormat="1" x14ac:dyDescent="0.25"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</row>
    <row r="668" spans="4:80" s="20" customFormat="1" x14ac:dyDescent="0.25">
      <c r="D668"/>
      <c r="E668"/>
      <c r="F668"/>
      <c r="G668"/>
      <c r="H668" s="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</row>
    <row r="669" spans="4:80" s="20" customFormat="1" x14ac:dyDescent="0.25"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</row>
    <row r="670" spans="4:80" s="20" customFormat="1" x14ac:dyDescent="0.25"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</row>
    <row r="671" spans="4:80" s="20" customFormat="1" x14ac:dyDescent="0.25"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</row>
    <row r="672" spans="4:80" s="20" customFormat="1" x14ac:dyDescent="0.25"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</row>
    <row r="673" spans="4:80" s="20" customFormat="1" x14ac:dyDescent="0.25"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</row>
    <row r="674" spans="4:80" s="20" customFormat="1" x14ac:dyDescent="0.25"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</row>
    <row r="675" spans="4:80" s="20" customFormat="1" x14ac:dyDescent="0.25"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</row>
    <row r="676" spans="4:80" s="20" customFormat="1" x14ac:dyDescent="0.25"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</row>
    <row r="677" spans="4:80" s="20" customFormat="1" x14ac:dyDescent="0.25"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</row>
    <row r="678" spans="4:80" s="20" customFormat="1" x14ac:dyDescent="0.25">
      <c r="D678"/>
      <c r="E678"/>
      <c r="F678"/>
      <c r="G678"/>
      <c r="H678" s="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</row>
    <row r="679" spans="4:80" s="20" customFormat="1" x14ac:dyDescent="0.25"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</row>
    <row r="680" spans="4:80" s="20" customFormat="1" x14ac:dyDescent="0.25">
      <c r="D680"/>
      <c r="E680"/>
      <c r="F680"/>
      <c r="G680"/>
      <c r="H680" s="8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</row>
    <row r="681" spans="4:80" s="20" customFormat="1" x14ac:dyDescent="0.25"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</row>
    <row r="682" spans="4:80" s="20" customFormat="1" x14ac:dyDescent="0.25"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</row>
    <row r="683" spans="4:80" s="20" customFormat="1" x14ac:dyDescent="0.25"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</row>
    <row r="684" spans="4:80" s="20" customFormat="1" x14ac:dyDescent="0.25"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</row>
    <row r="685" spans="4:80" s="20" customFormat="1" x14ac:dyDescent="0.25"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</row>
    <row r="686" spans="4:80" s="20" customFormat="1" x14ac:dyDescent="0.25"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</row>
    <row r="687" spans="4:80" s="20" customFormat="1" x14ac:dyDescent="0.25"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</row>
    <row r="688" spans="4:80" s="20" customFormat="1" x14ac:dyDescent="0.25"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</row>
    <row r="689" spans="4:80" s="20" customFormat="1" x14ac:dyDescent="0.25"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</row>
    <row r="690" spans="4:80" s="20" customFormat="1" x14ac:dyDescent="0.25">
      <c r="D690"/>
      <c r="E690"/>
      <c r="F690"/>
      <c r="G690"/>
      <c r="H690" s="8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</row>
    <row r="691" spans="4:80" s="20" customFormat="1" x14ac:dyDescent="0.25">
      <c r="D691"/>
      <c r="E691"/>
      <c r="F691"/>
      <c r="G691"/>
      <c r="H691" s="8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</row>
    <row r="692" spans="4:80" s="20" customFormat="1" x14ac:dyDescent="0.25"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</row>
    <row r="693" spans="4:80" s="20" customFormat="1" x14ac:dyDescent="0.25">
      <c r="D693"/>
      <c r="E693"/>
      <c r="F693"/>
      <c r="G693"/>
      <c r="H693" s="8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</row>
    <row r="694" spans="4:80" s="20" customFormat="1" x14ac:dyDescent="0.25"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</row>
    <row r="695" spans="4:80" s="20" customFormat="1" x14ac:dyDescent="0.25"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</row>
    <row r="696" spans="4:80" s="20" customFormat="1" x14ac:dyDescent="0.25"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</row>
    <row r="697" spans="4:80" s="20" customFormat="1" x14ac:dyDescent="0.25"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</row>
    <row r="698" spans="4:80" s="20" customFormat="1" x14ac:dyDescent="0.25"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</row>
    <row r="699" spans="4:80" s="20" customFormat="1" x14ac:dyDescent="0.25"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</row>
    <row r="700" spans="4:80" s="20" customFormat="1" x14ac:dyDescent="0.25"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</row>
    <row r="701" spans="4:80" s="20" customFormat="1" x14ac:dyDescent="0.25">
      <c r="D701"/>
      <c r="E701"/>
      <c r="F701"/>
      <c r="G701"/>
      <c r="H701" s="8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</row>
    <row r="702" spans="4:80" s="20" customFormat="1" x14ac:dyDescent="0.25"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</row>
    <row r="703" spans="4:80" s="20" customFormat="1" x14ac:dyDescent="0.25">
      <c r="D703"/>
      <c r="E703"/>
      <c r="F703"/>
      <c r="G703"/>
      <c r="H703" s="8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</row>
    <row r="704" spans="4:80" s="20" customFormat="1" x14ac:dyDescent="0.25"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</row>
    <row r="705" spans="4:80" s="20" customFormat="1" x14ac:dyDescent="0.25">
      <c r="D705"/>
      <c r="E705"/>
      <c r="F705"/>
      <c r="G705"/>
      <c r="H705" s="8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</row>
    <row r="706" spans="4:80" s="20" customFormat="1" x14ac:dyDescent="0.25"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</row>
    <row r="707" spans="4:80" s="20" customFormat="1" x14ac:dyDescent="0.25"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</row>
    <row r="708" spans="4:80" s="20" customFormat="1" x14ac:dyDescent="0.25"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</row>
    <row r="709" spans="4:80" s="20" customFormat="1" x14ac:dyDescent="0.25"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</row>
    <row r="710" spans="4:80" s="20" customFormat="1" x14ac:dyDescent="0.25"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</row>
    <row r="711" spans="4:80" s="20" customFormat="1" x14ac:dyDescent="0.25"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</row>
    <row r="712" spans="4:80" s="20" customFormat="1" x14ac:dyDescent="0.25"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</row>
    <row r="713" spans="4:80" s="20" customFormat="1" x14ac:dyDescent="0.25">
      <c r="D713"/>
      <c r="E713"/>
      <c r="F713"/>
      <c r="G713"/>
      <c r="H713" s="8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</row>
    <row r="714" spans="4:80" s="20" customFormat="1" x14ac:dyDescent="0.25"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</row>
    <row r="715" spans="4:80" s="20" customFormat="1" x14ac:dyDescent="0.25">
      <c r="D715"/>
      <c r="E715"/>
      <c r="F715"/>
      <c r="G715"/>
      <c r="H715" s="8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</row>
    <row r="716" spans="4:80" s="20" customFormat="1" x14ac:dyDescent="0.25"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</row>
    <row r="717" spans="4:80" s="20" customFormat="1" x14ac:dyDescent="0.25">
      <c r="D717"/>
      <c r="E717"/>
      <c r="F717"/>
      <c r="G717"/>
      <c r="H717" s="8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</row>
    <row r="718" spans="4:80" s="20" customFormat="1" x14ac:dyDescent="0.25"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</row>
    <row r="719" spans="4:80" s="20" customFormat="1" x14ac:dyDescent="0.25"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</row>
    <row r="720" spans="4:80" s="20" customFormat="1" x14ac:dyDescent="0.25"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</row>
    <row r="721" spans="4:80" s="20" customFormat="1" x14ac:dyDescent="0.25"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</row>
    <row r="722" spans="4:80" s="20" customFormat="1" x14ac:dyDescent="0.25"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</row>
    <row r="723" spans="4:80" s="20" customFormat="1" x14ac:dyDescent="0.25"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</row>
    <row r="724" spans="4:80" s="20" customFormat="1" x14ac:dyDescent="0.25"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</row>
    <row r="725" spans="4:80" s="20" customFormat="1" x14ac:dyDescent="0.25">
      <c r="D725"/>
      <c r="E725"/>
      <c r="F725"/>
      <c r="G725"/>
      <c r="H725" s="8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</row>
    <row r="726" spans="4:80" s="20" customFormat="1" x14ac:dyDescent="0.25"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</row>
    <row r="727" spans="4:80" s="20" customFormat="1" x14ac:dyDescent="0.25">
      <c r="D727"/>
      <c r="E727"/>
      <c r="F727"/>
      <c r="G727"/>
      <c r="H727" s="8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</row>
    <row r="728" spans="4:80" s="20" customFormat="1" x14ac:dyDescent="0.25"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</row>
    <row r="729" spans="4:80" s="20" customFormat="1" x14ac:dyDescent="0.25">
      <c r="D729"/>
      <c r="E729"/>
      <c r="F729"/>
      <c r="G729"/>
      <c r="H729" s="8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</row>
    <row r="730" spans="4:80" s="20" customFormat="1" x14ac:dyDescent="0.25"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</row>
    <row r="731" spans="4:80" s="20" customFormat="1" x14ac:dyDescent="0.25"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</row>
    <row r="732" spans="4:80" s="20" customFormat="1" x14ac:dyDescent="0.25"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</row>
    <row r="733" spans="4:80" s="20" customFormat="1" x14ac:dyDescent="0.25"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</row>
    <row r="734" spans="4:80" s="20" customFormat="1" x14ac:dyDescent="0.25"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</row>
    <row r="735" spans="4:80" s="20" customFormat="1" x14ac:dyDescent="0.25"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</row>
    <row r="736" spans="4:80" s="20" customFormat="1" x14ac:dyDescent="0.25"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</row>
    <row r="737" spans="4:80" s="20" customFormat="1" x14ac:dyDescent="0.25"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</row>
    <row r="738" spans="4:80" s="20" customFormat="1" x14ac:dyDescent="0.25"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</row>
    <row r="739" spans="4:80" s="20" customFormat="1" x14ac:dyDescent="0.25">
      <c r="D739"/>
      <c r="E739"/>
      <c r="F739"/>
      <c r="G739"/>
      <c r="H739" s="8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</row>
    <row r="740" spans="4:80" s="20" customFormat="1" x14ac:dyDescent="0.25">
      <c r="D740"/>
      <c r="E740"/>
      <c r="F740"/>
      <c r="G740"/>
      <c r="H740" s="8"/>
      <c r="I740" s="8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</row>
    <row r="741" spans="4:80" s="20" customFormat="1" x14ac:dyDescent="0.25"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</row>
    <row r="742" spans="4:80" s="20" customFormat="1" x14ac:dyDescent="0.25">
      <c r="D742"/>
      <c r="E742"/>
      <c r="F742"/>
      <c r="G742"/>
      <c r="H742" s="8"/>
      <c r="I742" s="8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</row>
    <row r="743" spans="4:80" s="20" customFormat="1" x14ac:dyDescent="0.25"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</row>
    <row r="744" spans="4:80" s="20" customFormat="1" x14ac:dyDescent="0.25"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</row>
    <row r="745" spans="4:80" s="20" customFormat="1" x14ac:dyDescent="0.25"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</row>
    <row r="746" spans="4:80" s="20" customFormat="1" x14ac:dyDescent="0.25"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</row>
    <row r="747" spans="4:80" s="20" customFormat="1" x14ac:dyDescent="0.25"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</row>
    <row r="748" spans="4:80" s="20" customFormat="1" x14ac:dyDescent="0.25"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</row>
    <row r="749" spans="4:80" s="20" customFormat="1" x14ac:dyDescent="0.25"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</row>
    <row r="750" spans="4:80" s="20" customFormat="1" x14ac:dyDescent="0.25">
      <c r="D750"/>
      <c r="E750"/>
      <c r="F750"/>
      <c r="G750"/>
      <c r="H750" s="8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</row>
    <row r="751" spans="4:80" s="20" customFormat="1" x14ac:dyDescent="0.25"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</row>
    <row r="752" spans="4:80" s="20" customFormat="1" x14ac:dyDescent="0.25">
      <c r="D752"/>
      <c r="E752"/>
      <c r="F752"/>
      <c r="G752"/>
      <c r="H752" s="8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</row>
    <row r="753" spans="4:80" s="20" customFormat="1" x14ac:dyDescent="0.25"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</row>
    <row r="754" spans="4:80" s="20" customFormat="1" x14ac:dyDescent="0.25">
      <c r="D754"/>
      <c r="E754"/>
      <c r="F754"/>
      <c r="G754"/>
      <c r="H754" s="8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</row>
    <row r="755" spans="4:80" s="20" customFormat="1" x14ac:dyDescent="0.25"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</row>
    <row r="756" spans="4:80" s="20" customFormat="1" x14ac:dyDescent="0.25"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</row>
    <row r="757" spans="4:80" s="20" customFormat="1" x14ac:dyDescent="0.25"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</row>
    <row r="758" spans="4:80" s="20" customFormat="1" x14ac:dyDescent="0.25"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</row>
    <row r="759" spans="4:80" s="20" customFormat="1" x14ac:dyDescent="0.25"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</row>
    <row r="760" spans="4:80" s="20" customFormat="1" x14ac:dyDescent="0.25"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</row>
    <row r="761" spans="4:80" s="20" customFormat="1" x14ac:dyDescent="0.25"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</row>
    <row r="762" spans="4:80" s="20" customFormat="1" x14ac:dyDescent="0.25">
      <c r="D762"/>
      <c r="E762"/>
      <c r="F762"/>
      <c r="G762"/>
      <c r="H762" s="8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</row>
    <row r="763" spans="4:80" s="20" customFormat="1" x14ac:dyDescent="0.25"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</row>
    <row r="764" spans="4:80" s="20" customFormat="1" x14ac:dyDescent="0.25">
      <c r="D764"/>
      <c r="E764"/>
      <c r="F764"/>
      <c r="G764"/>
      <c r="H764" s="8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</row>
    <row r="765" spans="4:80" s="20" customFormat="1" x14ac:dyDescent="0.25"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</row>
    <row r="766" spans="4:80" s="20" customFormat="1" x14ac:dyDescent="0.25">
      <c r="D766"/>
      <c r="E766"/>
      <c r="F766"/>
      <c r="G766"/>
      <c r="H766" s="8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</row>
    <row r="767" spans="4:80" s="20" customFormat="1" x14ac:dyDescent="0.25"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</row>
    <row r="768" spans="4:80" s="20" customFormat="1" x14ac:dyDescent="0.25"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</row>
    <row r="769" spans="4:80" s="20" customFormat="1" x14ac:dyDescent="0.25"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</row>
    <row r="770" spans="4:80" s="20" customFormat="1" x14ac:dyDescent="0.25"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</row>
    <row r="771" spans="4:80" s="20" customFormat="1" x14ac:dyDescent="0.25"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</row>
    <row r="772" spans="4:80" s="20" customFormat="1" x14ac:dyDescent="0.25"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</row>
    <row r="773" spans="4:80" s="20" customFormat="1" x14ac:dyDescent="0.25"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</row>
    <row r="774" spans="4:80" s="20" customFormat="1" x14ac:dyDescent="0.25">
      <c r="D774"/>
      <c r="E774"/>
      <c r="F774"/>
      <c r="G774"/>
      <c r="H774" s="8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</row>
    <row r="775" spans="4:80" s="20" customFormat="1" x14ac:dyDescent="0.25"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</row>
    <row r="776" spans="4:80" s="20" customFormat="1" x14ac:dyDescent="0.25">
      <c r="D776"/>
      <c r="E776"/>
      <c r="F776"/>
      <c r="G776"/>
      <c r="H776" s="8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</row>
    <row r="777" spans="4:80" s="20" customFormat="1" x14ac:dyDescent="0.25"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</row>
    <row r="778" spans="4:80" s="20" customFormat="1" x14ac:dyDescent="0.25">
      <c r="D778"/>
      <c r="E778"/>
      <c r="F778"/>
      <c r="G778"/>
      <c r="H778" s="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</row>
    <row r="779" spans="4:80" s="20" customFormat="1" x14ac:dyDescent="0.25"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</row>
    <row r="780" spans="4:80" s="20" customFormat="1" x14ac:dyDescent="0.25"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</row>
    <row r="781" spans="4:80" s="20" customFormat="1" x14ac:dyDescent="0.25"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</row>
    <row r="782" spans="4:80" s="20" customFormat="1" x14ac:dyDescent="0.25"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</row>
    <row r="783" spans="4:80" s="20" customFormat="1" x14ac:dyDescent="0.25"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</row>
    <row r="784" spans="4:80" s="20" customFormat="1" x14ac:dyDescent="0.25"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</row>
    <row r="785" spans="4:80" s="20" customFormat="1" x14ac:dyDescent="0.25"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</row>
    <row r="786" spans="4:80" s="20" customFormat="1" x14ac:dyDescent="0.25"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</row>
    <row r="787" spans="4:80" s="20" customFormat="1" x14ac:dyDescent="0.25"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</row>
    <row r="788" spans="4:80" s="20" customFormat="1" x14ac:dyDescent="0.25">
      <c r="D788"/>
      <c r="E788"/>
      <c r="F788"/>
      <c r="G788"/>
      <c r="H788" s="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</row>
    <row r="789" spans="4:80" s="20" customFormat="1" x14ac:dyDescent="0.25">
      <c r="D789"/>
      <c r="E789"/>
      <c r="F789"/>
      <c r="G789"/>
      <c r="H789" s="8"/>
      <c r="I789" s="8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</row>
    <row r="790" spans="4:80" s="20" customFormat="1" x14ac:dyDescent="0.25"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</row>
    <row r="791" spans="4:80" s="20" customFormat="1" x14ac:dyDescent="0.25">
      <c r="D791"/>
      <c r="E791"/>
      <c r="F791"/>
      <c r="G791"/>
      <c r="H791" s="8"/>
      <c r="I791" s="8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</row>
    <row r="792" spans="4:80" s="20" customFormat="1" x14ac:dyDescent="0.25"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</row>
    <row r="793" spans="4:80" s="20" customFormat="1" x14ac:dyDescent="0.25"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</row>
    <row r="794" spans="4:80" s="20" customFormat="1" x14ac:dyDescent="0.25"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</row>
    <row r="795" spans="4:80" s="20" customFormat="1" x14ac:dyDescent="0.25"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</row>
    <row r="796" spans="4:80" s="20" customFormat="1" x14ac:dyDescent="0.25"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</row>
    <row r="797" spans="4:80" s="20" customFormat="1" x14ac:dyDescent="0.25"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</row>
    <row r="798" spans="4:80" s="20" customFormat="1" x14ac:dyDescent="0.25"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</row>
    <row r="799" spans="4:80" s="20" customFormat="1" x14ac:dyDescent="0.25">
      <c r="D799"/>
      <c r="E799"/>
      <c r="F799"/>
      <c r="G799"/>
      <c r="H799" s="8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</row>
    <row r="800" spans="4:80" s="20" customFormat="1" x14ac:dyDescent="0.25"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</row>
    <row r="801" spans="4:80" s="20" customFormat="1" x14ac:dyDescent="0.25">
      <c r="D801"/>
      <c r="E801"/>
      <c r="F801"/>
      <c r="G801"/>
      <c r="H801" s="8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</row>
    <row r="802" spans="4:80" s="20" customFormat="1" x14ac:dyDescent="0.25"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</row>
    <row r="803" spans="4:80" s="20" customFormat="1" x14ac:dyDescent="0.25">
      <c r="D803"/>
      <c r="E803"/>
      <c r="F803"/>
      <c r="G803"/>
      <c r="H803" s="8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</row>
    <row r="804" spans="4:80" s="20" customFormat="1" x14ac:dyDescent="0.25"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</row>
    <row r="805" spans="4:80" s="20" customFormat="1" x14ac:dyDescent="0.25"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</row>
    <row r="806" spans="4:80" s="20" customFormat="1" x14ac:dyDescent="0.25"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</row>
    <row r="807" spans="4:80" s="20" customFormat="1" x14ac:dyDescent="0.25"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</row>
    <row r="808" spans="4:80" s="20" customFormat="1" x14ac:dyDescent="0.25"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</row>
    <row r="809" spans="4:80" s="20" customFormat="1" x14ac:dyDescent="0.25"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</row>
    <row r="810" spans="4:80" s="20" customFormat="1" x14ac:dyDescent="0.25"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</row>
    <row r="811" spans="4:80" s="20" customFormat="1" x14ac:dyDescent="0.25">
      <c r="D811"/>
      <c r="E811"/>
      <c r="F811"/>
      <c r="G811"/>
      <c r="H811" s="8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</row>
    <row r="812" spans="4:80" s="20" customFormat="1" x14ac:dyDescent="0.25"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</row>
    <row r="813" spans="4:80" s="20" customFormat="1" x14ac:dyDescent="0.25">
      <c r="D813"/>
      <c r="E813"/>
      <c r="F813"/>
      <c r="G813"/>
      <c r="H813" s="8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</row>
    <row r="814" spans="4:80" s="20" customFormat="1" x14ac:dyDescent="0.25"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</row>
    <row r="815" spans="4:80" s="20" customFormat="1" x14ac:dyDescent="0.25">
      <c r="D815"/>
      <c r="E815"/>
      <c r="F815"/>
      <c r="G815"/>
      <c r="H815" s="8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</row>
    <row r="816" spans="4:80" s="20" customFormat="1" x14ac:dyDescent="0.25"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</row>
    <row r="817" spans="4:80" s="20" customFormat="1" x14ac:dyDescent="0.25"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</row>
    <row r="818" spans="4:80" s="20" customFormat="1" x14ac:dyDescent="0.25"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</row>
    <row r="819" spans="4:80" s="20" customFormat="1" x14ac:dyDescent="0.25"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</row>
    <row r="820" spans="4:80" s="20" customFormat="1" x14ac:dyDescent="0.25"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</row>
    <row r="821" spans="4:80" s="20" customFormat="1" x14ac:dyDescent="0.25"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</row>
    <row r="822" spans="4:80" s="20" customFormat="1" x14ac:dyDescent="0.25"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</row>
    <row r="823" spans="4:80" s="20" customFormat="1" x14ac:dyDescent="0.25">
      <c r="D823"/>
      <c r="E823"/>
      <c r="F823"/>
      <c r="G823"/>
      <c r="H823" s="8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</row>
    <row r="824" spans="4:80" s="20" customFormat="1" x14ac:dyDescent="0.25"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</row>
    <row r="825" spans="4:80" s="20" customFormat="1" x14ac:dyDescent="0.25">
      <c r="D825"/>
      <c r="E825"/>
      <c r="F825"/>
      <c r="G825"/>
      <c r="H825" s="8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</row>
    <row r="826" spans="4:80" s="20" customFormat="1" x14ac:dyDescent="0.25"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</row>
    <row r="827" spans="4:80" s="20" customFormat="1" x14ac:dyDescent="0.25">
      <c r="D827"/>
      <c r="E827"/>
      <c r="F827"/>
      <c r="G827"/>
      <c r="H827" s="8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</row>
    <row r="828" spans="4:80" s="20" customFormat="1" x14ac:dyDescent="0.25"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</row>
    <row r="829" spans="4:80" s="20" customFormat="1" x14ac:dyDescent="0.25"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</row>
    <row r="830" spans="4:80" s="20" customFormat="1" x14ac:dyDescent="0.25"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</row>
    <row r="831" spans="4:80" s="20" customFormat="1" x14ac:dyDescent="0.25"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</row>
    <row r="832" spans="4:80" s="20" customFormat="1" x14ac:dyDescent="0.25"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</row>
    <row r="833" spans="4:80" s="20" customFormat="1" x14ac:dyDescent="0.25"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</row>
    <row r="834" spans="4:80" s="20" customFormat="1" x14ac:dyDescent="0.25"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</row>
    <row r="835" spans="4:80" s="20" customFormat="1" x14ac:dyDescent="0.25"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</row>
    <row r="836" spans="4:80" s="20" customFormat="1" x14ac:dyDescent="0.25"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</row>
    <row r="837" spans="4:80" s="20" customFormat="1" x14ac:dyDescent="0.25">
      <c r="D837"/>
      <c r="E837"/>
      <c r="F837"/>
      <c r="G837"/>
      <c r="H837" s="8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</row>
    <row r="838" spans="4:80" s="20" customFormat="1" x14ac:dyDescent="0.25">
      <c r="D838"/>
      <c r="E838"/>
      <c r="F838"/>
      <c r="G838"/>
      <c r="H838" s="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</row>
    <row r="839" spans="4:80" s="20" customFormat="1" x14ac:dyDescent="0.25"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</row>
    <row r="840" spans="4:80" s="20" customFormat="1" x14ac:dyDescent="0.25">
      <c r="D840"/>
      <c r="E840"/>
      <c r="F840"/>
      <c r="G840"/>
      <c r="H840" s="8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</row>
    <row r="841" spans="4:80" s="20" customFormat="1" x14ac:dyDescent="0.25"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</row>
    <row r="842" spans="4:80" s="20" customFormat="1" x14ac:dyDescent="0.25"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</row>
    <row r="843" spans="4:80" s="20" customFormat="1" x14ac:dyDescent="0.25"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</row>
    <row r="844" spans="4:80" s="20" customFormat="1" x14ac:dyDescent="0.25"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</row>
    <row r="845" spans="4:80" s="20" customFormat="1" x14ac:dyDescent="0.25"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</row>
    <row r="846" spans="4:80" s="20" customFormat="1" x14ac:dyDescent="0.25"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</row>
    <row r="847" spans="4:80" s="20" customFormat="1" x14ac:dyDescent="0.25"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</row>
    <row r="848" spans="4:80" s="20" customFormat="1" x14ac:dyDescent="0.25">
      <c r="D848"/>
      <c r="E848"/>
      <c r="F848"/>
      <c r="G848"/>
      <c r="H848" s="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</row>
    <row r="849" spans="4:80" s="20" customFormat="1" x14ac:dyDescent="0.25"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</row>
    <row r="850" spans="4:80" s="20" customFormat="1" x14ac:dyDescent="0.25">
      <c r="D850"/>
      <c r="E850"/>
      <c r="F850"/>
      <c r="G850"/>
      <c r="H850" s="8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</row>
    <row r="851" spans="4:80" s="20" customFormat="1" x14ac:dyDescent="0.25"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</row>
    <row r="852" spans="4:80" s="20" customFormat="1" x14ac:dyDescent="0.25">
      <c r="D852"/>
      <c r="E852"/>
      <c r="F852"/>
      <c r="G852"/>
      <c r="H852" s="8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</row>
    <row r="853" spans="4:80" s="20" customFormat="1" x14ac:dyDescent="0.25"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</row>
    <row r="854" spans="4:80" s="20" customFormat="1" x14ac:dyDescent="0.25"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</row>
    <row r="855" spans="4:80" s="20" customFormat="1" x14ac:dyDescent="0.25"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</row>
    <row r="856" spans="4:80" s="20" customFormat="1" x14ac:dyDescent="0.25"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</row>
    <row r="857" spans="4:80" s="20" customFormat="1" x14ac:dyDescent="0.25"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</row>
    <row r="858" spans="4:80" s="20" customFormat="1" x14ac:dyDescent="0.25"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</row>
    <row r="859" spans="4:80" s="20" customFormat="1" x14ac:dyDescent="0.25"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</row>
    <row r="860" spans="4:80" s="20" customFormat="1" x14ac:dyDescent="0.25">
      <c r="D860"/>
      <c r="E860"/>
      <c r="F860"/>
      <c r="G860"/>
      <c r="H860" s="8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</row>
    <row r="861" spans="4:80" s="20" customFormat="1" x14ac:dyDescent="0.25"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</row>
    <row r="862" spans="4:80" s="20" customFormat="1" x14ac:dyDescent="0.25">
      <c r="D862"/>
      <c r="E862"/>
      <c r="F862"/>
      <c r="G862"/>
      <c r="H862" s="8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</row>
    <row r="863" spans="4:80" s="20" customFormat="1" x14ac:dyDescent="0.25"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</row>
    <row r="864" spans="4:80" s="20" customFormat="1" x14ac:dyDescent="0.25">
      <c r="D864"/>
      <c r="E864"/>
      <c r="F864"/>
      <c r="G864"/>
      <c r="H864" s="8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</row>
    <row r="865" spans="4:80" s="20" customFormat="1" x14ac:dyDescent="0.25"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</row>
    <row r="866" spans="4:80" s="20" customFormat="1" x14ac:dyDescent="0.25"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</row>
    <row r="867" spans="4:80" s="20" customFormat="1" x14ac:dyDescent="0.25"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</row>
    <row r="868" spans="4:80" s="20" customFormat="1" x14ac:dyDescent="0.25"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</row>
    <row r="869" spans="4:80" s="20" customFormat="1" x14ac:dyDescent="0.25"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</row>
    <row r="870" spans="4:80" s="20" customFormat="1" x14ac:dyDescent="0.25"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</row>
    <row r="871" spans="4:80" s="20" customFormat="1" x14ac:dyDescent="0.25"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</row>
    <row r="872" spans="4:80" s="20" customFormat="1" x14ac:dyDescent="0.25"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</row>
    <row r="873" spans="4:80" s="20" customFormat="1" x14ac:dyDescent="0.25"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</row>
    <row r="874" spans="4:80" s="20" customFormat="1" x14ac:dyDescent="0.25">
      <c r="D874"/>
      <c r="E874"/>
      <c r="F874"/>
      <c r="G874"/>
      <c r="H874" s="8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</row>
    <row r="875" spans="4:80" s="20" customFormat="1" x14ac:dyDescent="0.25"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</row>
    <row r="876" spans="4:80" s="20" customFormat="1" x14ac:dyDescent="0.25">
      <c r="D876"/>
      <c r="E876"/>
      <c r="F876"/>
      <c r="G876"/>
      <c r="H876" s="8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</row>
    <row r="877" spans="4:80" s="20" customFormat="1" x14ac:dyDescent="0.25"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</row>
    <row r="878" spans="4:80" s="20" customFormat="1" x14ac:dyDescent="0.25"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</row>
    <row r="879" spans="4:80" s="20" customFormat="1" x14ac:dyDescent="0.25"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</row>
    <row r="880" spans="4:80" s="20" customFormat="1" x14ac:dyDescent="0.25"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</row>
    <row r="881" spans="4:80" s="20" customFormat="1" x14ac:dyDescent="0.25"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</row>
    <row r="882" spans="4:80" s="20" customFormat="1" x14ac:dyDescent="0.25"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</row>
    <row r="883" spans="4:80" s="20" customFormat="1" x14ac:dyDescent="0.25"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</row>
    <row r="884" spans="4:80" s="20" customFormat="1" x14ac:dyDescent="0.25"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</row>
    <row r="885" spans="4:80" s="20" customFormat="1" x14ac:dyDescent="0.25"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</row>
    <row r="886" spans="4:80" s="20" customFormat="1" x14ac:dyDescent="0.25">
      <c r="D886"/>
      <c r="E886"/>
      <c r="F886"/>
      <c r="G886"/>
      <c r="H886" s="8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</row>
    <row r="887" spans="4:80" s="20" customFormat="1" x14ac:dyDescent="0.25">
      <c r="D887"/>
      <c r="E887"/>
      <c r="F887"/>
      <c r="G887"/>
      <c r="H887" s="8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</row>
    <row r="888" spans="4:80" s="20" customFormat="1" x14ac:dyDescent="0.25"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</row>
    <row r="889" spans="4:80" s="20" customFormat="1" x14ac:dyDescent="0.25">
      <c r="D889"/>
      <c r="E889"/>
      <c r="F889"/>
      <c r="G889"/>
      <c r="H889" s="8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</row>
    <row r="890" spans="4:80" s="20" customFormat="1" x14ac:dyDescent="0.25"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</row>
    <row r="891" spans="4:80" s="20" customFormat="1" x14ac:dyDescent="0.25"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</row>
    <row r="892" spans="4:80" s="20" customFormat="1" x14ac:dyDescent="0.25"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</row>
    <row r="893" spans="4:80" s="20" customFormat="1" x14ac:dyDescent="0.25"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</row>
    <row r="894" spans="4:80" s="20" customFormat="1" x14ac:dyDescent="0.25"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</row>
    <row r="895" spans="4:80" s="20" customFormat="1" x14ac:dyDescent="0.25"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</row>
    <row r="896" spans="4:80" s="20" customFormat="1" x14ac:dyDescent="0.25"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</row>
    <row r="897" spans="4:80" s="20" customFormat="1" x14ac:dyDescent="0.25">
      <c r="D897"/>
      <c r="E897"/>
      <c r="F897"/>
      <c r="G897"/>
      <c r="H897" s="8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</row>
    <row r="898" spans="4:80" s="20" customFormat="1" x14ac:dyDescent="0.25"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</row>
    <row r="899" spans="4:80" s="20" customFormat="1" x14ac:dyDescent="0.25">
      <c r="D899"/>
      <c r="E899"/>
      <c r="F899"/>
      <c r="G899"/>
      <c r="H899" s="8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</row>
    <row r="900" spans="4:80" s="20" customFormat="1" x14ac:dyDescent="0.25"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</row>
    <row r="901" spans="4:80" s="20" customFormat="1" x14ac:dyDescent="0.25">
      <c r="D901"/>
      <c r="E901"/>
      <c r="F901"/>
      <c r="G901"/>
      <c r="H901" s="8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</row>
    <row r="902" spans="4:80" s="20" customFormat="1" x14ac:dyDescent="0.25"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</row>
    <row r="903" spans="4:80" s="20" customFormat="1" x14ac:dyDescent="0.25"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</row>
    <row r="904" spans="4:80" s="20" customFormat="1" x14ac:dyDescent="0.25"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</row>
    <row r="905" spans="4:80" s="20" customFormat="1" x14ac:dyDescent="0.25"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</row>
    <row r="906" spans="4:80" s="20" customFormat="1" x14ac:dyDescent="0.25"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</row>
    <row r="907" spans="4:80" s="20" customFormat="1" x14ac:dyDescent="0.25"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</row>
    <row r="908" spans="4:80" s="20" customFormat="1" x14ac:dyDescent="0.25"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</row>
    <row r="909" spans="4:80" s="20" customFormat="1" x14ac:dyDescent="0.25">
      <c r="D909"/>
      <c r="E909"/>
      <c r="F909"/>
      <c r="G909"/>
      <c r="H909" s="8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</row>
    <row r="910" spans="4:80" s="20" customFormat="1" x14ac:dyDescent="0.25"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</row>
    <row r="911" spans="4:80" s="20" customFormat="1" x14ac:dyDescent="0.25">
      <c r="D911"/>
      <c r="E911"/>
      <c r="F911"/>
      <c r="G911"/>
      <c r="H911" s="8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</row>
    <row r="912" spans="4:80" s="20" customFormat="1" x14ac:dyDescent="0.25"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</row>
    <row r="913" spans="4:80" s="20" customFormat="1" x14ac:dyDescent="0.25">
      <c r="D913"/>
      <c r="E913"/>
      <c r="F913"/>
      <c r="G913"/>
      <c r="H913" s="8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</row>
    <row r="914" spans="4:80" s="20" customFormat="1" x14ac:dyDescent="0.25"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</row>
    <row r="915" spans="4:80" s="20" customFormat="1" x14ac:dyDescent="0.25"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</row>
    <row r="916" spans="4:80" s="20" customFormat="1" x14ac:dyDescent="0.25"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</row>
    <row r="917" spans="4:80" s="20" customFormat="1" x14ac:dyDescent="0.25"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</row>
    <row r="918" spans="4:80" s="20" customFormat="1" x14ac:dyDescent="0.25"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</row>
    <row r="919" spans="4:80" s="20" customFormat="1" x14ac:dyDescent="0.25"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</row>
    <row r="920" spans="4:80" s="20" customFormat="1" x14ac:dyDescent="0.25"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</row>
    <row r="921" spans="4:80" s="20" customFormat="1" x14ac:dyDescent="0.25"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</row>
    <row r="922" spans="4:80" s="20" customFormat="1" x14ac:dyDescent="0.25"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</row>
    <row r="923" spans="4:80" s="20" customFormat="1" x14ac:dyDescent="0.25"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</row>
    <row r="924" spans="4:80" s="20" customFormat="1" x14ac:dyDescent="0.25"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</row>
    <row r="925" spans="4:80" s="20" customFormat="1" x14ac:dyDescent="0.25"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</row>
    <row r="926" spans="4:80" s="20" customFormat="1" x14ac:dyDescent="0.25"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</row>
    <row r="927" spans="4:80" s="20" customFormat="1" x14ac:dyDescent="0.25"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</row>
    <row r="928" spans="4:80" s="20" customFormat="1" x14ac:dyDescent="0.25"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</row>
    <row r="929" spans="4:80" s="20" customFormat="1" x14ac:dyDescent="0.25"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</row>
    <row r="930" spans="4:80" s="20" customFormat="1" x14ac:dyDescent="0.25"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</row>
    <row r="931" spans="4:80" s="20" customFormat="1" x14ac:dyDescent="0.25"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</row>
    <row r="932" spans="4:80" s="20" customFormat="1" x14ac:dyDescent="0.25"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</row>
    <row r="933" spans="4:80" s="20" customFormat="1" x14ac:dyDescent="0.25"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</row>
    <row r="934" spans="4:80" s="20" customFormat="1" x14ac:dyDescent="0.25"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</row>
    <row r="935" spans="4:80" s="20" customFormat="1" x14ac:dyDescent="0.25">
      <c r="D935"/>
      <c r="E935"/>
      <c r="F935"/>
      <c r="G935"/>
      <c r="H935" s="8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</row>
    <row r="936" spans="4:80" s="20" customFormat="1" x14ac:dyDescent="0.25">
      <c r="D936"/>
      <c r="E936"/>
      <c r="F936"/>
      <c r="G936"/>
      <c r="H936" s="8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</row>
    <row r="937" spans="4:80" s="20" customFormat="1" x14ac:dyDescent="0.25"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</row>
    <row r="938" spans="4:80" s="20" customFormat="1" x14ac:dyDescent="0.25">
      <c r="D938"/>
      <c r="E938"/>
      <c r="F938"/>
      <c r="G938"/>
      <c r="H938" s="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</row>
    <row r="939" spans="4:80" s="20" customFormat="1" x14ac:dyDescent="0.25"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</row>
    <row r="940" spans="4:80" s="20" customFormat="1" x14ac:dyDescent="0.25"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</row>
    <row r="941" spans="4:80" s="20" customFormat="1" x14ac:dyDescent="0.25"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</row>
    <row r="942" spans="4:80" s="20" customFormat="1" x14ac:dyDescent="0.25"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</row>
    <row r="943" spans="4:80" s="20" customFormat="1" x14ac:dyDescent="0.25"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</row>
    <row r="944" spans="4:80" s="20" customFormat="1" x14ac:dyDescent="0.25"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</row>
    <row r="945" spans="4:80" s="20" customFormat="1" x14ac:dyDescent="0.25"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</row>
    <row r="946" spans="4:80" s="20" customFormat="1" x14ac:dyDescent="0.25">
      <c r="D946"/>
      <c r="E946"/>
      <c r="F946"/>
      <c r="G946"/>
      <c r="H946" s="8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</row>
    <row r="947" spans="4:80" s="20" customFormat="1" x14ac:dyDescent="0.25"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</row>
    <row r="948" spans="4:80" s="20" customFormat="1" x14ac:dyDescent="0.25">
      <c r="D948"/>
      <c r="E948"/>
      <c r="F948"/>
      <c r="G948"/>
      <c r="H948" s="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</row>
    <row r="949" spans="4:80" s="20" customFormat="1" x14ac:dyDescent="0.25"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</row>
    <row r="950" spans="4:80" s="20" customFormat="1" x14ac:dyDescent="0.25">
      <c r="D950"/>
      <c r="E950"/>
      <c r="F950"/>
      <c r="G950"/>
      <c r="H950" s="8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</row>
    <row r="951" spans="4:80" s="20" customFormat="1" x14ac:dyDescent="0.25"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</row>
    <row r="952" spans="4:80" s="20" customFormat="1" x14ac:dyDescent="0.25"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</row>
    <row r="953" spans="4:80" s="20" customFormat="1" x14ac:dyDescent="0.25"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</row>
    <row r="954" spans="4:80" s="20" customFormat="1" x14ac:dyDescent="0.25"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</row>
    <row r="955" spans="4:80" s="20" customFormat="1" x14ac:dyDescent="0.25"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</row>
    <row r="956" spans="4:80" s="20" customFormat="1" x14ac:dyDescent="0.25"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</row>
    <row r="957" spans="4:80" s="20" customFormat="1" x14ac:dyDescent="0.25"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</row>
    <row r="958" spans="4:80" s="20" customFormat="1" x14ac:dyDescent="0.25">
      <c r="D958"/>
      <c r="E958"/>
      <c r="F958"/>
      <c r="G958"/>
      <c r="H958" s="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</row>
    <row r="959" spans="4:80" s="20" customFormat="1" x14ac:dyDescent="0.25"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</row>
    <row r="960" spans="4:80" s="20" customFormat="1" x14ac:dyDescent="0.25">
      <c r="D960"/>
      <c r="E960"/>
      <c r="F960"/>
      <c r="G960"/>
      <c r="H960" s="8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</row>
    <row r="961" spans="4:80" s="20" customFormat="1" x14ac:dyDescent="0.25"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</row>
    <row r="962" spans="4:80" s="20" customFormat="1" x14ac:dyDescent="0.25">
      <c r="D962"/>
      <c r="E962"/>
      <c r="F962"/>
      <c r="G962"/>
      <c r="H962" s="8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</row>
    <row r="963" spans="4:80" s="20" customFormat="1" x14ac:dyDescent="0.25"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</row>
    <row r="964" spans="4:80" s="20" customFormat="1" x14ac:dyDescent="0.25"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</row>
    <row r="965" spans="4:80" s="20" customFormat="1" x14ac:dyDescent="0.25"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</row>
    <row r="966" spans="4:80" s="20" customFormat="1" x14ac:dyDescent="0.25"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</row>
    <row r="967" spans="4:80" s="20" customFormat="1" x14ac:dyDescent="0.25"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</row>
    <row r="968" spans="4:80" s="20" customFormat="1" x14ac:dyDescent="0.25"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</row>
    <row r="969" spans="4:80" s="20" customFormat="1" x14ac:dyDescent="0.25"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</row>
    <row r="970" spans="4:80" s="20" customFormat="1" x14ac:dyDescent="0.25"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</row>
    <row r="971" spans="4:80" s="20" customFormat="1" x14ac:dyDescent="0.25"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</row>
    <row r="972" spans="4:80" s="20" customFormat="1" x14ac:dyDescent="0.25">
      <c r="D972"/>
      <c r="E972"/>
      <c r="F972"/>
      <c r="G972"/>
      <c r="H972" s="8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</row>
    <row r="973" spans="4:80" s="20" customFormat="1" x14ac:dyDescent="0.25"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</row>
    <row r="974" spans="4:80" s="20" customFormat="1" x14ac:dyDescent="0.25">
      <c r="D974"/>
      <c r="E974"/>
      <c r="F974"/>
      <c r="G974"/>
      <c r="H974" s="8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</row>
    <row r="975" spans="4:80" s="20" customFormat="1" x14ac:dyDescent="0.25"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</row>
    <row r="976" spans="4:80" s="20" customFormat="1" x14ac:dyDescent="0.25"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</row>
    <row r="977" spans="4:80" s="20" customFormat="1" x14ac:dyDescent="0.25"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</row>
    <row r="978" spans="4:80" s="20" customFormat="1" x14ac:dyDescent="0.25"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</row>
    <row r="979" spans="4:80" s="20" customFormat="1" x14ac:dyDescent="0.25"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</row>
    <row r="980" spans="4:80" s="20" customFormat="1" x14ac:dyDescent="0.25"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</row>
    <row r="981" spans="4:80" s="20" customFormat="1" x14ac:dyDescent="0.25"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</row>
    <row r="982" spans="4:80" s="20" customFormat="1" x14ac:dyDescent="0.25"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</row>
    <row r="983" spans="4:80" s="20" customFormat="1" x14ac:dyDescent="0.25"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</row>
    <row r="984" spans="4:80" s="20" customFormat="1" x14ac:dyDescent="0.25">
      <c r="D984"/>
      <c r="E984"/>
      <c r="F984"/>
      <c r="G984"/>
      <c r="H984" s="8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</row>
    <row r="985" spans="4:80" s="20" customFormat="1" x14ac:dyDescent="0.25">
      <c r="D985"/>
      <c r="E985"/>
      <c r="F985"/>
      <c r="G985"/>
      <c r="H985" s="8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</row>
    <row r="986" spans="4:80" s="20" customFormat="1" x14ac:dyDescent="0.25"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</row>
    <row r="987" spans="4:80" s="20" customFormat="1" x14ac:dyDescent="0.25">
      <c r="D987"/>
      <c r="E987"/>
      <c r="F987"/>
      <c r="G987"/>
      <c r="H987" s="8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</row>
    <row r="988" spans="4:80" s="20" customFormat="1" x14ac:dyDescent="0.25"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</row>
    <row r="989" spans="4:80" s="20" customFormat="1" x14ac:dyDescent="0.25"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</row>
    <row r="990" spans="4:80" s="20" customFormat="1" x14ac:dyDescent="0.25"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</row>
    <row r="991" spans="4:80" s="20" customFormat="1" x14ac:dyDescent="0.25"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</row>
    <row r="992" spans="4:80" s="20" customFormat="1" x14ac:dyDescent="0.25"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</row>
    <row r="993" spans="4:80" s="20" customFormat="1" x14ac:dyDescent="0.25"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</row>
    <row r="994" spans="4:80" s="20" customFormat="1" x14ac:dyDescent="0.25"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</row>
    <row r="995" spans="4:80" s="20" customFormat="1" x14ac:dyDescent="0.25">
      <c r="D995"/>
      <c r="E995"/>
      <c r="F995"/>
      <c r="G995"/>
      <c r="H995" s="8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</row>
    <row r="996" spans="4:80" s="20" customFormat="1" x14ac:dyDescent="0.25"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</row>
    <row r="997" spans="4:80" s="20" customFormat="1" x14ac:dyDescent="0.25">
      <c r="D997"/>
      <c r="E997"/>
      <c r="F997"/>
      <c r="G997"/>
      <c r="H997" s="8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</row>
    <row r="998" spans="4:80" s="20" customFormat="1" x14ac:dyDescent="0.25"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</row>
    <row r="999" spans="4:80" s="20" customFormat="1" x14ac:dyDescent="0.25">
      <c r="D999"/>
      <c r="E999"/>
      <c r="F999"/>
      <c r="G999"/>
      <c r="H999" s="8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</row>
    <row r="1000" spans="4:80" s="20" customFormat="1" x14ac:dyDescent="0.25"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</row>
    <row r="1001" spans="4:80" s="20" customFormat="1" x14ac:dyDescent="0.25"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</row>
    <row r="1002" spans="4:80" s="20" customFormat="1" x14ac:dyDescent="0.25"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</row>
    <row r="1003" spans="4:80" s="20" customFormat="1" x14ac:dyDescent="0.25"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</row>
    <row r="1004" spans="4:80" s="20" customFormat="1" x14ac:dyDescent="0.25"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</row>
    <row r="1005" spans="4:80" s="20" customFormat="1" x14ac:dyDescent="0.25"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</row>
    <row r="1006" spans="4:80" s="20" customFormat="1" x14ac:dyDescent="0.25"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</row>
    <row r="1007" spans="4:80" s="20" customFormat="1" x14ac:dyDescent="0.25">
      <c r="D1007"/>
      <c r="E1007"/>
      <c r="F1007"/>
      <c r="G1007"/>
      <c r="H1007" s="8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</row>
    <row r="1008" spans="4:80" s="20" customFormat="1" x14ac:dyDescent="0.25"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</row>
    <row r="1009" spans="4:80" s="20" customFormat="1" x14ac:dyDescent="0.25">
      <c r="D1009"/>
      <c r="E1009"/>
      <c r="F1009"/>
      <c r="G1009"/>
      <c r="H1009" s="8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</row>
    <row r="1010" spans="4:80" s="20" customFormat="1" x14ac:dyDescent="0.25"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</row>
    <row r="1011" spans="4:80" s="20" customFormat="1" x14ac:dyDescent="0.25">
      <c r="D1011"/>
      <c r="E1011"/>
      <c r="F1011"/>
      <c r="G1011"/>
      <c r="H1011" s="8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</row>
    <row r="1012" spans="4:80" s="20" customFormat="1" x14ac:dyDescent="0.25"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</row>
    <row r="1013" spans="4:80" s="20" customFormat="1" x14ac:dyDescent="0.25"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</row>
    <row r="1014" spans="4:80" s="20" customFormat="1" x14ac:dyDescent="0.25"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</row>
    <row r="1015" spans="4:80" s="20" customFormat="1" x14ac:dyDescent="0.25"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</row>
    <row r="1016" spans="4:80" s="20" customFormat="1" x14ac:dyDescent="0.25"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</row>
    <row r="1017" spans="4:80" s="20" customFormat="1" x14ac:dyDescent="0.25"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</row>
    <row r="1018" spans="4:80" s="20" customFormat="1" x14ac:dyDescent="0.25"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</row>
    <row r="1019" spans="4:80" s="20" customFormat="1" x14ac:dyDescent="0.25"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</row>
    <row r="1020" spans="4:80" s="20" customFormat="1" x14ac:dyDescent="0.25"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</row>
    <row r="1021" spans="4:80" s="20" customFormat="1" x14ac:dyDescent="0.25">
      <c r="D1021"/>
      <c r="E1021"/>
      <c r="F1021"/>
      <c r="G1021"/>
      <c r="H1021" s="8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</row>
    <row r="1022" spans="4:80" s="20" customFormat="1" x14ac:dyDescent="0.25"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</row>
    <row r="1023" spans="4:80" s="20" customFormat="1" x14ac:dyDescent="0.25">
      <c r="D1023"/>
      <c r="E1023"/>
      <c r="F1023"/>
      <c r="G1023"/>
      <c r="H1023" s="8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</row>
    <row r="1024" spans="4:80" s="20" customFormat="1" x14ac:dyDescent="0.25"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</row>
    <row r="1025" spans="4:80" s="20" customFormat="1" x14ac:dyDescent="0.25"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</row>
    <row r="1026" spans="4:80" s="20" customFormat="1" x14ac:dyDescent="0.25"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</row>
    <row r="1027" spans="4:80" s="20" customFormat="1" x14ac:dyDescent="0.25"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</row>
    <row r="1028" spans="4:80" s="20" customFormat="1" x14ac:dyDescent="0.25"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</row>
    <row r="1029" spans="4:80" s="20" customFormat="1" x14ac:dyDescent="0.25"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</row>
    <row r="1030" spans="4:80" s="20" customFormat="1" x14ac:dyDescent="0.25"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</row>
    <row r="1031" spans="4:80" s="20" customFormat="1" x14ac:dyDescent="0.25"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</row>
    <row r="1032" spans="4:80" s="20" customFormat="1" x14ac:dyDescent="0.25"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</row>
    <row r="1033" spans="4:80" s="20" customFormat="1" x14ac:dyDescent="0.25">
      <c r="D1033"/>
      <c r="E1033"/>
      <c r="F1033"/>
      <c r="G1033"/>
      <c r="H1033" s="8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</row>
    <row r="1034" spans="4:80" s="20" customFormat="1" x14ac:dyDescent="0.25">
      <c r="D1034"/>
      <c r="E1034"/>
      <c r="F1034"/>
      <c r="G1034"/>
      <c r="H1034" s="8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</row>
    <row r="1035" spans="4:80" s="20" customFormat="1" x14ac:dyDescent="0.25"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</row>
    <row r="1036" spans="4:80" s="20" customFormat="1" x14ac:dyDescent="0.25">
      <c r="D1036"/>
      <c r="E1036"/>
      <c r="F1036"/>
      <c r="G1036"/>
      <c r="H1036" s="8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</row>
    <row r="1037" spans="4:80" s="20" customFormat="1" x14ac:dyDescent="0.25"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</row>
    <row r="1038" spans="4:80" s="20" customFormat="1" x14ac:dyDescent="0.25"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</row>
    <row r="1039" spans="4:80" s="20" customFormat="1" x14ac:dyDescent="0.25"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</row>
    <row r="1040" spans="4:80" s="20" customFormat="1" x14ac:dyDescent="0.25"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</row>
    <row r="1041" spans="4:80" s="20" customFormat="1" x14ac:dyDescent="0.25"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</row>
    <row r="1042" spans="4:80" s="20" customFormat="1" x14ac:dyDescent="0.25"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</row>
    <row r="1043" spans="4:80" s="20" customFormat="1" x14ac:dyDescent="0.25"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</row>
    <row r="1044" spans="4:80" s="20" customFormat="1" x14ac:dyDescent="0.25">
      <c r="D1044"/>
      <c r="E1044"/>
      <c r="F1044"/>
      <c r="G1044"/>
      <c r="H1044" s="8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</row>
    <row r="1045" spans="4:80" s="20" customFormat="1" x14ac:dyDescent="0.25"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</row>
    <row r="1046" spans="4:80" s="20" customFormat="1" x14ac:dyDescent="0.25">
      <c r="D1046"/>
      <c r="E1046"/>
      <c r="F1046"/>
      <c r="G1046"/>
      <c r="H1046" s="8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</row>
    <row r="1047" spans="4:80" s="20" customFormat="1" x14ac:dyDescent="0.25"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</row>
    <row r="1048" spans="4:80" s="20" customFormat="1" x14ac:dyDescent="0.25">
      <c r="D1048"/>
      <c r="E1048"/>
      <c r="F1048"/>
      <c r="G1048"/>
      <c r="H1048" s="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</row>
    <row r="1049" spans="4:80" s="20" customFormat="1" x14ac:dyDescent="0.25"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</row>
    <row r="1050" spans="4:80" s="20" customFormat="1" x14ac:dyDescent="0.25"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</row>
    <row r="1051" spans="4:80" s="20" customFormat="1" x14ac:dyDescent="0.25"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</row>
    <row r="1052" spans="4:80" s="20" customFormat="1" x14ac:dyDescent="0.25"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</row>
    <row r="1053" spans="4:80" s="20" customFormat="1" x14ac:dyDescent="0.25"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</row>
    <row r="1054" spans="4:80" s="20" customFormat="1" x14ac:dyDescent="0.25"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</row>
    <row r="1055" spans="4:80" s="20" customFormat="1" x14ac:dyDescent="0.25"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</row>
    <row r="1056" spans="4:80" s="20" customFormat="1" x14ac:dyDescent="0.25">
      <c r="D1056"/>
      <c r="E1056"/>
      <c r="F1056"/>
      <c r="G1056"/>
      <c r="H1056" s="8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</row>
    <row r="1057" spans="4:80" s="20" customFormat="1" x14ac:dyDescent="0.25"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</row>
    <row r="1058" spans="4:80" s="20" customFormat="1" x14ac:dyDescent="0.25">
      <c r="D1058"/>
      <c r="E1058"/>
      <c r="F1058"/>
      <c r="G1058"/>
      <c r="H1058" s="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</row>
    <row r="1059" spans="4:80" s="20" customFormat="1" x14ac:dyDescent="0.25"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</row>
    <row r="1060" spans="4:80" s="20" customFormat="1" x14ac:dyDescent="0.25">
      <c r="D1060"/>
      <c r="E1060"/>
      <c r="F1060"/>
      <c r="G1060"/>
      <c r="H1060" s="8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</row>
    <row r="1061" spans="4:80" s="20" customFormat="1" x14ac:dyDescent="0.25"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</row>
    <row r="1062" spans="4:80" s="20" customFormat="1" x14ac:dyDescent="0.25"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</row>
    <row r="1063" spans="4:80" s="20" customFormat="1" x14ac:dyDescent="0.25"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</row>
    <row r="1064" spans="4:80" s="20" customFormat="1" x14ac:dyDescent="0.25"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</row>
    <row r="1065" spans="4:80" s="20" customFormat="1" x14ac:dyDescent="0.25"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</row>
    <row r="1066" spans="4:80" s="20" customFormat="1" x14ac:dyDescent="0.25"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</row>
    <row r="1067" spans="4:80" s="20" customFormat="1" x14ac:dyDescent="0.25"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</row>
    <row r="1068" spans="4:80" s="20" customFormat="1" x14ac:dyDescent="0.25"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</row>
    <row r="1069" spans="4:80" s="20" customFormat="1" x14ac:dyDescent="0.25"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</row>
    <row r="1070" spans="4:80" s="20" customFormat="1" x14ac:dyDescent="0.25">
      <c r="D1070"/>
      <c r="E1070"/>
      <c r="F1070"/>
      <c r="G1070"/>
      <c r="H1070" s="8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</row>
    <row r="1071" spans="4:80" s="20" customFormat="1" x14ac:dyDescent="0.25"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</row>
    <row r="1072" spans="4:80" s="20" customFormat="1" x14ac:dyDescent="0.25">
      <c r="D1072"/>
      <c r="E1072"/>
      <c r="F1072"/>
      <c r="G1072"/>
      <c r="H1072" s="8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</row>
    <row r="1073" spans="4:80" s="20" customFormat="1" x14ac:dyDescent="0.25"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</row>
    <row r="1074" spans="4:80" s="20" customFormat="1" x14ac:dyDescent="0.25"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</row>
    <row r="1075" spans="4:80" s="20" customFormat="1" x14ac:dyDescent="0.25"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</row>
    <row r="1076" spans="4:80" s="20" customFormat="1" x14ac:dyDescent="0.25"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</row>
    <row r="1077" spans="4:80" s="20" customFormat="1" x14ac:dyDescent="0.25"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</row>
    <row r="1078" spans="4:80" s="20" customFormat="1" x14ac:dyDescent="0.25"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</row>
    <row r="1079" spans="4:80" s="20" customFormat="1" x14ac:dyDescent="0.25"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</row>
    <row r="1080" spans="4:80" s="20" customFormat="1" x14ac:dyDescent="0.25"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</row>
    <row r="1081" spans="4:80" s="20" customFormat="1" x14ac:dyDescent="0.25"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</row>
    <row r="1082" spans="4:80" s="20" customFormat="1" x14ac:dyDescent="0.25">
      <c r="D1082"/>
      <c r="E1082"/>
      <c r="F1082"/>
      <c r="G1082"/>
      <c r="H1082" s="8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</row>
    <row r="1083" spans="4:80" s="20" customFormat="1" x14ac:dyDescent="0.25">
      <c r="D1083"/>
      <c r="E1083"/>
      <c r="F1083"/>
      <c r="G1083"/>
      <c r="H1083" s="8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</row>
    <row r="1084" spans="4:80" s="20" customFormat="1" x14ac:dyDescent="0.25"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</row>
    <row r="1085" spans="4:80" s="20" customFormat="1" x14ac:dyDescent="0.25">
      <c r="D1085"/>
      <c r="E1085"/>
      <c r="F1085"/>
      <c r="G1085"/>
      <c r="H1085" s="8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</row>
    <row r="1086" spans="4:80" s="20" customFormat="1" x14ac:dyDescent="0.25"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</row>
    <row r="1087" spans="4:80" s="20" customFormat="1" x14ac:dyDescent="0.25"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</row>
    <row r="1088" spans="4:80" s="20" customFormat="1" x14ac:dyDescent="0.25"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</row>
    <row r="1089" spans="4:80" s="20" customFormat="1" x14ac:dyDescent="0.25"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</row>
    <row r="1090" spans="4:80" s="20" customFormat="1" x14ac:dyDescent="0.25"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</row>
    <row r="1091" spans="4:80" s="20" customFormat="1" x14ac:dyDescent="0.25"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</row>
    <row r="1092" spans="4:80" s="20" customFormat="1" x14ac:dyDescent="0.25"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</row>
    <row r="1093" spans="4:80" s="20" customFormat="1" x14ac:dyDescent="0.25">
      <c r="D1093"/>
      <c r="E1093"/>
      <c r="F1093"/>
      <c r="G1093"/>
      <c r="H1093" s="8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</row>
    <row r="1094" spans="4:80" s="20" customFormat="1" x14ac:dyDescent="0.25"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</row>
    <row r="1095" spans="4:80" s="20" customFormat="1" x14ac:dyDescent="0.25">
      <c r="D1095"/>
      <c r="E1095"/>
      <c r="F1095"/>
      <c r="G1095"/>
      <c r="H1095" s="8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</row>
    <row r="1096" spans="4:80" s="20" customFormat="1" x14ac:dyDescent="0.25"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</row>
    <row r="1097" spans="4:80" s="20" customFormat="1" x14ac:dyDescent="0.25">
      <c r="D1097"/>
      <c r="E1097"/>
      <c r="F1097"/>
      <c r="G1097"/>
      <c r="H1097" s="8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</row>
    <row r="1098" spans="4:80" s="20" customFormat="1" x14ac:dyDescent="0.25"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</row>
    <row r="1099" spans="4:80" s="20" customFormat="1" x14ac:dyDescent="0.25"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</row>
    <row r="1100" spans="4:80" s="20" customFormat="1" x14ac:dyDescent="0.25"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</row>
    <row r="1101" spans="4:80" s="20" customFormat="1" x14ac:dyDescent="0.25"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</row>
    <row r="1102" spans="4:80" s="20" customFormat="1" x14ac:dyDescent="0.25"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</row>
    <row r="1103" spans="4:80" s="20" customFormat="1" x14ac:dyDescent="0.25"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</row>
    <row r="1104" spans="4:80" s="20" customFormat="1" x14ac:dyDescent="0.25"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</row>
    <row r="1105" spans="4:80" s="20" customFormat="1" x14ac:dyDescent="0.25">
      <c r="D1105"/>
      <c r="E1105"/>
      <c r="F1105"/>
      <c r="G1105"/>
      <c r="H1105" s="8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</row>
    <row r="1106" spans="4:80" s="20" customFormat="1" x14ac:dyDescent="0.25"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</row>
    <row r="1107" spans="4:80" s="20" customFormat="1" x14ac:dyDescent="0.25">
      <c r="D1107"/>
      <c r="E1107"/>
      <c r="F1107"/>
      <c r="G1107"/>
      <c r="H1107" s="8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</row>
    <row r="1108" spans="4:80" s="20" customFormat="1" x14ac:dyDescent="0.25"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</row>
    <row r="1109" spans="4:80" s="20" customFormat="1" x14ac:dyDescent="0.25">
      <c r="D1109"/>
      <c r="E1109"/>
      <c r="F1109"/>
      <c r="G1109"/>
      <c r="H1109" s="8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</row>
    <row r="1110" spans="4:80" s="20" customFormat="1" x14ac:dyDescent="0.25"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</row>
    <row r="1111" spans="4:80" s="20" customFormat="1" x14ac:dyDescent="0.25"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</row>
    <row r="1112" spans="4:80" s="20" customFormat="1" x14ac:dyDescent="0.25"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</row>
    <row r="1113" spans="4:80" s="20" customFormat="1" x14ac:dyDescent="0.25"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</row>
    <row r="1114" spans="4:80" s="20" customFormat="1" x14ac:dyDescent="0.25"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</row>
    <row r="1115" spans="4:80" s="20" customFormat="1" x14ac:dyDescent="0.25"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</row>
    <row r="1116" spans="4:80" s="20" customFormat="1" x14ac:dyDescent="0.25"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</row>
    <row r="1117" spans="4:80" s="20" customFormat="1" x14ac:dyDescent="0.25">
      <c r="D1117"/>
      <c r="E1117"/>
      <c r="F1117"/>
      <c r="G1117"/>
      <c r="H1117" s="8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</row>
    <row r="1118" spans="4:80" s="20" customFormat="1" x14ac:dyDescent="0.25"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</row>
    <row r="1119" spans="4:80" s="20" customFormat="1" x14ac:dyDescent="0.25">
      <c r="D1119"/>
      <c r="E1119"/>
      <c r="F1119"/>
      <c r="G1119"/>
      <c r="H1119" s="8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</row>
    <row r="1120" spans="4:80" s="20" customFormat="1" x14ac:dyDescent="0.25"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</row>
    <row r="1121" spans="4:80" s="20" customFormat="1" x14ac:dyDescent="0.25">
      <c r="D1121"/>
      <c r="E1121"/>
      <c r="F1121"/>
      <c r="G1121"/>
      <c r="H1121" s="8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</row>
    <row r="1122" spans="4:80" s="20" customFormat="1" x14ac:dyDescent="0.25"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</row>
    <row r="1123" spans="4:80" s="20" customFormat="1" x14ac:dyDescent="0.25"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</row>
    <row r="1124" spans="4:80" s="20" customFormat="1" x14ac:dyDescent="0.25"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</row>
    <row r="1125" spans="4:80" s="20" customFormat="1" x14ac:dyDescent="0.25"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</row>
    <row r="1126" spans="4:80" s="20" customFormat="1" x14ac:dyDescent="0.25"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</row>
    <row r="1127" spans="4:80" s="20" customFormat="1" x14ac:dyDescent="0.25"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</row>
    <row r="1128" spans="4:80" s="20" customFormat="1" x14ac:dyDescent="0.25"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</row>
    <row r="1129" spans="4:80" s="20" customFormat="1" x14ac:dyDescent="0.25"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</row>
    <row r="1130" spans="4:80" s="20" customFormat="1" x14ac:dyDescent="0.25"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</row>
    <row r="1131" spans="4:80" s="20" customFormat="1" x14ac:dyDescent="0.25">
      <c r="D1131"/>
      <c r="E1131"/>
      <c r="F1131"/>
      <c r="G1131"/>
      <c r="H1131" s="8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</row>
    <row r="1132" spans="4:80" s="20" customFormat="1" x14ac:dyDescent="0.25">
      <c r="D1132"/>
      <c r="E1132"/>
      <c r="F1132"/>
      <c r="G1132"/>
      <c r="H1132" s="8"/>
      <c r="I1132" s="8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</row>
    <row r="1133" spans="4:80" s="20" customFormat="1" x14ac:dyDescent="0.25"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</row>
    <row r="1134" spans="4:80" s="20" customFormat="1" x14ac:dyDescent="0.25">
      <c r="D1134"/>
      <c r="E1134"/>
      <c r="F1134"/>
      <c r="G1134"/>
      <c r="H1134" s="8"/>
      <c r="I1134" s="8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</row>
    <row r="1135" spans="4:80" s="20" customFormat="1" x14ac:dyDescent="0.25"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</row>
    <row r="1136" spans="4:80" s="20" customFormat="1" x14ac:dyDescent="0.25"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</row>
    <row r="1137" spans="4:80" s="20" customFormat="1" x14ac:dyDescent="0.25"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</row>
    <row r="1138" spans="4:80" s="20" customFormat="1" x14ac:dyDescent="0.25"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</row>
    <row r="1139" spans="4:80" s="20" customFormat="1" x14ac:dyDescent="0.25"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</row>
    <row r="1140" spans="4:80" s="20" customFormat="1" x14ac:dyDescent="0.25"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</row>
    <row r="1141" spans="4:80" s="20" customFormat="1" x14ac:dyDescent="0.25"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</row>
    <row r="1142" spans="4:80" s="20" customFormat="1" x14ac:dyDescent="0.25">
      <c r="D1142"/>
      <c r="E1142"/>
      <c r="F1142"/>
      <c r="G1142"/>
      <c r="H1142" s="8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</row>
    <row r="1143" spans="4:80" s="20" customFormat="1" x14ac:dyDescent="0.25"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</row>
    <row r="1144" spans="4:80" s="20" customFormat="1" x14ac:dyDescent="0.25">
      <c r="D1144"/>
      <c r="E1144"/>
      <c r="F1144"/>
      <c r="G1144"/>
      <c r="H1144" s="8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</row>
    <row r="1145" spans="4:80" s="20" customFormat="1" x14ac:dyDescent="0.25"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</row>
    <row r="1146" spans="4:80" s="20" customFormat="1" x14ac:dyDescent="0.25">
      <c r="D1146"/>
      <c r="E1146"/>
      <c r="F1146"/>
      <c r="G1146"/>
      <c r="H1146" s="8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</row>
    <row r="1147" spans="4:80" s="20" customFormat="1" x14ac:dyDescent="0.25"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</row>
    <row r="1148" spans="4:80" s="20" customFormat="1" x14ac:dyDescent="0.25"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</row>
    <row r="1149" spans="4:80" s="20" customFormat="1" x14ac:dyDescent="0.25"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</row>
    <row r="1150" spans="4:80" s="20" customFormat="1" x14ac:dyDescent="0.25"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</row>
    <row r="1151" spans="4:80" s="20" customFormat="1" x14ac:dyDescent="0.25"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</row>
    <row r="1152" spans="4:80" s="20" customFormat="1" x14ac:dyDescent="0.25"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</row>
    <row r="1153" spans="4:80" s="20" customFormat="1" x14ac:dyDescent="0.25"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</row>
    <row r="1154" spans="4:80" s="20" customFormat="1" x14ac:dyDescent="0.25">
      <c r="D1154"/>
      <c r="E1154"/>
      <c r="F1154"/>
      <c r="G1154"/>
      <c r="H1154" s="8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</row>
    <row r="1155" spans="4:80" s="20" customFormat="1" x14ac:dyDescent="0.25"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</row>
    <row r="1156" spans="4:80" s="20" customFormat="1" x14ac:dyDescent="0.25">
      <c r="D1156"/>
      <c r="E1156"/>
      <c r="F1156"/>
      <c r="G1156"/>
      <c r="H1156" s="8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</row>
    <row r="1157" spans="4:80" s="20" customFormat="1" x14ac:dyDescent="0.25"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</row>
    <row r="1158" spans="4:80" s="20" customFormat="1" x14ac:dyDescent="0.25">
      <c r="D1158"/>
      <c r="E1158"/>
      <c r="F1158"/>
      <c r="G1158"/>
      <c r="H1158" s="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</row>
    <row r="1159" spans="4:80" s="20" customFormat="1" x14ac:dyDescent="0.25"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</row>
    <row r="1160" spans="4:80" s="20" customFormat="1" x14ac:dyDescent="0.25"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</row>
    <row r="1161" spans="4:80" s="20" customFormat="1" x14ac:dyDescent="0.25"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</row>
    <row r="1162" spans="4:80" s="20" customFormat="1" x14ac:dyDescent="0.25"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</row>
    <row r="1163" spans="4:80" s="20" customFormat="1" x14ac:dyDescent="0.25"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</row>
    <row r="1164" spans="4:80" s="20" customFormat="1" x14ac:dyDescent="0.25"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</row>
    <row r="1165" spans="4:80" s="20" customFormat="1" x14ac:dyDescent="0.25"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</row>
    <row r="1166" spans="4:80" s="20" customFormat="1" x14ac:dyDescent="0.25">
      <c r="D1166"/>
      <c r="E1166"/>
      <c r="F1166"/>
      <c r="G1166"/>
      <c r="H1166" s="8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</row>
    <row r="1167" spans="4:80" s="20" customFormat="1" x14ac:dyDescent="0.25"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</row>
    <row r="1168" spans="4:80" s="20" customFormat="1" x14ac:dyDescent="0.25">
      <c r="D1168"/>
      <c r="E1168"/>
      <c r="F1168"/>
      <c r="G1168"/>
      <c r="H1168" s="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</row>
    <row r="1169" spans="4:80" s="20" customFormat="1" x14ac:dyDescent="0.25"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</row>
    <row r="1170" spans="4:80" s="20" customFormat="1" x14ac:dyDescent="0.25">
      <c r="D1170"/>
      <c r="E1170"/>
      <c r="F1170"/>
      <c r="G1170"/>
      <c r="H1170" s="8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</row>
    <row r="1171" spans="4:80" s="20" customFormat="1" x14ac:dyDescent="0.25"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</row>
    <row r="1172" spans="4:80" s="20" customFormat="1" x14ac:dyDescent="0.25"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</row>
    <row r="1173" spans="4:80" s="20" customFormat="1" x14ac:dyDescent="0.25"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</row>
    <row r="1174" spans="4:80" s="20" customFormat="1" x14ac:dyDescent="0.25"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</row>
    <row r="1175" spans="4:80" s="20" customFormat="1" x14ac:dyDescent="0.25"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</row>
    <row r="1176" spans="4:80" s="20" customFormat="1" x14ac:dyDescent="0.25"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</row>
    <row r="1177" spans="4:80" s="20" customFormat="1" x14ac:dyDescent="0.25"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</row>
    <row r="1178" spans="4:80" s="20" customFormat="1" x14ac:dyDescent="0.25"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</row>
    <row r="1179" spans="4:80" s="20" customFormat="1" x14ac:dyDescent="0.25"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</row>
    <row r="1180" spans="4:80" s="20" customFormat="1" x14ac:dyDescent="0.25">
      <c r="D1180"/>
      <c r="E1180"/>
      <c r="F1180"/>
      <c r="G1180"/>
      <c r="H1180" s="8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</row>
    <row r="1181" spans="4:80" s="20" customFormat="1" x14ac:dyDescent="0.25">
      <c r="D1181"/>
      <c r="E1181"/>
      <c r="F1181"/>
      <c r="G1181"/>
      <c r="H1181" s="8"/>
      <c r="I1181" s="8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</row>
    <row r="1182" spans="4:80" s="20" customFormat="1" x14ac:dyDescent="0.25"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</row>
    <row r="1183" spans="4:80" s="20" customFormat="1" x14ac:dyDescent="0.25">
      <c r="D1183"/>
      <c r="E1183"/>
      <c r="F1183"/>
      <c r="G1183"/>
      <c r="H1183" s="8"/>
      <c r="I1183" s="8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</row>
    <row r="1184" spans="4:80" s="20" customFormat="1" x14ac:dyDescent="0.25"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</row>
    <row r="1185" spans="4:80" s="20" customFormat="1" x14ac:dyDescent="0.25"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</row>
    <row r="1186" spans="4:80" s="20" customFormat="1" x14ac:dyDescent="0.25"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</row>
    <row r="1187" spans="4:80" s="20" customFormat="1" x14ac:dyDescent="0.25"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</row>
    <row r="1188" spans="4:80" s="20" customFormat="1" x14ac:dyDescent="0.25"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</row>
    <row r="1189" spans="4:80" s="20" customFormat="1" x14ac:dyDescent="0.25"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</row>
    <row r="1190" spans="4:80" s="20" customFormat="1" x14ac:dyDescent="0.25"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</row>
    <row r="1191" spans="4:80" s="20" customFormat="1" x14ac:dyDescent="0.25">
      <c r="D1191"/>
      <c r="E1191"/>
      <c r="F1191"/>
      <c r="G1191"/>
      <c r="H1191" s="8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</row>
    <row r="1192" spans="4:80" s="20" customFormat="1" x14ac:dyDescent="0.25"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</row>
    <row r="1193" spans="4:80" s="20" customFormat="1" x14ac:dyDescent="0.25">
      <c r="D1193"/>
      <c r="E1193"/>
      <c r="F1193"/>
      <c r="G1193"/>
      <c r="H1193" s="8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</row>
    <row r="1194" spans="4:80" s="20" customFormat="1" x14ac:dyDescent="0.25"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</row>
    <row r="1195" spans="4:80" s="20" customFormat="1" x14ac:dyDescent="0.25">
      <c r="D1195"/>
      <c r="E1195"/>
      <c r="F1195"/>
      <c r="G1195"/>
      <c r="H1195" s="8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</row>
    <row r="1196" spans="4:80" s="20" customFormat="1" x14ac:dyDescent="0.25"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</row>
    <row r="1197" spans="4:80" s="20" customFormat="1" x14ac:dyDescent="0.25"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</row>
    <row r="1198" spans="4:80" s="20" customFormat="1" x14ac:dyDescent="0.25"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</row>
    <row r="1199" spans="4:80" s="20" customFormat="1" x14ac:dyDescent="0.25"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</row>
    <row r="1200" spans="4:80" s="20" customFormat="1" x14ac:dyDescent="0.25"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</row>
    <row r="1201" spans="4:80" s="20" customFormat="1" x14ac:dyDescent="0.25"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</row>
    <row r="1202" spans="4:80" s="20" customFormat="1" x14ac:dyDescent="0.25"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</row>
    <row r="1203" spans="4:80" s="20" customFormat="1" x14ac:dyDescent="0.25">
      <c r="D1203"/>
      <c r="E1203"/>
      <c r="F1203"/>
      <c r="G1203"/>
      <c r="H1203" s="8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</row>
    <row r="1204" spans="4:80" s="20" customFormat="1" x14ac:dyDescent="0.25"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</row>
    <row r="1205" spans="4:80" s="20" customFormat="1" x14ac:dyDescent="0.25">
      <c r="D1205"/>
      <c r="E1205"/>
      <c r="F1205"/>
      <c r="G1205"/>
      <c r="H1205" s="8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</row>
    <row r="1206" spans="4:80" s="20" customFormat="1" x14ac:dyDescent="0.25"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</row>
    <row r="1207" spans="4:80" s="20" customFormat="1" x14ac:dyDescent="0.25">
      <c r="D1207"/>
      <c r="E1207"/>
      <c r="F1207"/>
      <c r="G1207"/>
      <c r="H1207" s="8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</row>
    <row r="1208" spans="4:80" s="20" customFormat="1" x14ac:dyDescent="0.25"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</row>
    <row r="1209" spans="4:80" s="20" customFormat="1" x14ac:dyDescent="0.25"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</row>
    <row r="1210" spans="4:80" s="20" customFormat="1" x14ac:dyDescent="0.25"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</row>
    <row r="1211" spans="4:80" s="20" customFormat="1" x14ac:dyDescent="0.25"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</row>
    <row r="1212" spans="4:80" s="20" customFormat="1" x14ac:dyDescent="0.25"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</row>
    <row r="1213" spans="4:80" s="20" customFormat="1" x14ac:dyDescent="0.25"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</row>
    <row r="1214" spans="4:80" s="20" customFormat="1" x14ac:dyDescent="0.25"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</row>
    <row r="1215" spans="4:80" s="20" customFormat="1" x14ac:dyDescent="0.25">
      <c r="D1215"/>
      <c r="E1215"/>
      <c r="F1215"/>
      <c r="G1215"/>
      <c r="H1215" s="8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</row>
    <row r="1216" spans="4:80" s="20" customFormat="1" x14ac:dyDescent="0.25"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</row>
    <row r="1217" spans="4:80" s="20" customFormat="1" x14ac:dyDescent="0.25">
      <c r="D1217"/>
      <c r="E1217"/>
      <c r="F1217"/>
      <c r="G1217"/>
      <c r="H1217" s="8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</row>
    <row r="1218" spans="4:80" s="20" customFormat="1" x14ac:dyDescent="0.25"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</row>
    <row r="1219" spans="4:80" s="20" customFormat="1" x14ac:dyDescent="0.25">
      <c r="D1219"/>
      <c r="E1219"/>
      <c r="F1219"/>
      <c r="G1219"/>
      <c r="H1219" s="8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</row>
    <row r="1220" spans="4:80" s="20" customFormat="1" x14ac:dyDescent="0.25"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</row>
    <row r="1221" spans="4:80" s="20" customFormat="1" x14ac:dyDescent="0.25"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</row>
    <row r="1222" spans="4:80" s="20" customFormat="1" x14ac:dyDescent="0.25"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</row>
    <row r="1223" spans="4:80" s="20" customFormat="1" x14ac:dyDescent="0.25"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</row>
    <row r="1224" spans="4:80" s="20" customFormat="1" x14ac:dyDescent="0.25"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/>
    </row>
    <row r="1225" spans="4:80" s="20" customFormat="1" x14ac:dyDescent="0.25"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</row>
    <row r="1226" spans="4:80" s="20" customFormat="1" x14ac:dyDescent="0.25"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/>
    </row>
    <row r="1227" spans="4:80" s="20" customFormat="1" x14ac:dyDescent="0.25"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/>
    </row>
    <row r="1228" spans="4:80" s="20" customFormat="1" x14ac:dyDescent="0.25"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</row>
    <row r="1229" spans="4:80" s="20" customFormat="1" x14ac:dyDescent="0.25">
      <c r="D1229"/>
      <c r="E1229"/>
      <c r="F1229"/>
      <c r="G1229"/>
      <c r="H1229" s="8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/>
    </row>
    <row r="1230" spans="4:80" s="20" customFormat="1" x14ac:dyDescent="0.25">
      <c r="D1230"/>
      <c r="E1230"/>
      <c r="F1230"/>
      <c r="G1230"/>
      <c r="H1230" s="8"/>
      <c r="I1230" s="8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/>
    </row>
    <row r="1231" spans="4:80" s="20" customFormat="1" x14ac:dyDescent="0.25"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</row>
    <row r="1232" spans="4:80" s="20" customFormat="1" x14ac:dyDescent="0.25">
      <c r="D1232"/>
      <c r="E1232"/>
      <c r="F1232"/>
      <c r="G1232"/>
      <c r="H1232" s="8"/>
      <c r="I1232" s="8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</row>
    <row r="1233" spans="4:80" s="20" customFormat="1" x14ac:dyDescent="0.25"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</row>
    <row r="1234" spans="4:80" s="20" customFormat="1" x14ac:dyDescent="0.25"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</row>
    <row r="1235" spans="4:80" s="20" customFormat="1" x14ac:dyDescent="0.25"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</row>
    <row r="1236" spans="4:80" s="20" customFormat="1" x14ac:dyDescent="0.25"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</row>
    <row r="1237" spans="4:80" s="20" customFormat="1" x14ac:dyDescent="0.25"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</row>
    <row r="1238" spans="4:80" s="20" customFormat="1" x14ac:dyDescent="0.25"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</row>
    <row r="1239" spans="4:80" s="20" customFormat="1" x14ac:dyDescent="0.25"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/>
    </row>
    <row r="1240" spans="4:80" s="20" customFormat="1" x14ac:dyDescent="0.25">
      <c r="D1240"/>
      <c r="E1240"/>
      <c r="F1240"/>
      <c r="G1240"/>
      <c r="H1240" s="8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</row>
    <row r="1241" spans="4:80" s="20" customFormat="1" x14ac:dyDescent="0.25"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</row>
    <row r="1242" spans="4:80" s="20" customFormat="1" x14ac:dyDescent="0.25">
      <c r="D1242"/>
      <c r="E1242"/>
      <c r="F1242"/>
      <c r="G1242"/>
      <c r="H1242" s="8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</row>
    <row r="1243" spans="4:80" s="20" customFormat="1" x14ac:dyDescent="0.25"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</row>
    <row r="1244" spans="4:80" s="20" customFormat="1" x14ac:dyDescent="0.25">
      <c r="D1244"/>
      <c r="E1244"/>
      <c r="F1244"/>
      <c r="G1244"/>
      <c r="H1244" s="8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/>
    </row>
    <row r="1245" spans="4:80" s="20" customFormat="1" x14ac:dyDescent="0.25"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</row>
    <row r="1246" spans="4:80" s="20" customFormat="1" x14ac:dyDescent="0.25"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</row>
    <row r="1247" spans="4:80" s="20" customFormat="1" x14ac:dyDescent="0.25"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/>
    </row>
    <row r="1248" spans="4:80" s="20" customFormat="1" x14ac:dyDescent="0.25"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</row>
    <row r="1249" spans="4:80" s="20" customFormat="1" x14ac:dyDescent="0.25"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  <c r="CA1249"/>
      <c r="CB1249"/>
    </row>
    <row r="1250" spans="4:80" s="20" customFormat="1" x14ac:dyDescent="0.25"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</row>
    <row r="1251" spans="4:80" s="20" customFormat="1" x14ac:dyDescent="0.25"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</row>
    <row r="1252" spans="4:80" s="20" customFormat="1" x14ac:dyDescent="0.25">
      <c r="D1252"/>
      <c r="E1252"/>
      <c r="F1252"/>
      <c r="G1252"/>
      <c r="H1252" s="8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</row>
    <row r="1253" spans="4:80" s="20" customFormat="1" x14ac:dyDescent="0.25"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  <c r="CA1253"/>
      <c r="CB1253"/>
    </row>
    <row r="1254" spans="4:80" s="20" customFormat="1" x14ac:dyDescent="0.25">
      <c r="D1254"/>
      <c r="E1254"/>
      <c r="F1254"/>
      <c r="G1254"/>
      <c r="H1254" s="8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</row>
    <row r="1255" spans="4:80" s="20" customFormat="1" x14ac:dyDescent="0.25"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</row>
    <row r="1256" spans="4:80" s="20" customFormat="1" x14ac:dyDescent="0.25">
      <c r="D1256"/>
      <c r="E1256"/>
      <c r="F1256"/>
      <c r="G1256"/>
      <c r="H1256" s="8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</row>
    <row r="1257" spans="4:80" s="20" customFormat="1" x14ac:dyDescent="0.25"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</row>
    <row r="1258" spans="4:80" s="20" customFormat="1" x14ac:dyDescent="0.25"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</row>
    <row r="1259" spans="4:80" s="20" customFormat="1" x14ac:dyDescent="0.25"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</row>
    <row r="1260" spans="4:80" s="20" customFormat="1" x14ac:dyDescent="0.25"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</row>
    <row r="1261" spans="4:80" s="20" customFormat="1" x14ac:dyDescent="0.25"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</row>
    <row r="1262" spans="4:80" s="20" customFormat="1" x14ac:dyDescent="0.25"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</row>
    <row r="1263" spans="4:80" s="20" customFormat="1" x14ac:dyDescent="0.25"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</row>
    <row r="1264" spans="4:80" s="20" customFormat="1" x14ac:dyDescent="0.25">
      <c r="D1264"/>
      <c r="E1264"/>
      <c r="F1264"/>
      <c r="G1264"/>
      <c r="H1264" s="8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</row>
    <row r="1265" spans="4:80" s="20" customFormat="1" x14ac:dyDescent="0.25"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</row>
    <row r="1266" spans="4:80" s="20" customFormat="1" x14ac:dyDescent="0.25">
      <c r="D1266"/>
      <c r="E1266"/>
      <c r="F1266"/>
      <c r="G1266"/>
      <c r="H1266" s="8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</row>
    <row r="1267" spans="4:80" s="20" customFormat="1" x14ac:dyDescent="0.25"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</row>
    <row r="1268" spans="4:80" s="20" customFormat="1" x14ac:dyDescent="0.25">
      <c r="D1268"/>
      <c r="E1268"/>
      <c r="F1268"/>
      <c r="G1268"/>
      <c r="H1268" s="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</row>
    <row r="1269" spans="4:80" s="20" customFormat="1" x14ac:dyDescent="0.25"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</row>
    <row r="1270" spans="4:80" s="20" customFormat="1" x14ac:dyDescent="0.25"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  <c r="CA1270"/>
      <c r="CB1270"/>
    </row>
    <row r="1271" spans="4:80" s="20" customFormat="1" x14ac:dyDescent="0.25"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  <c r="CA1271"/>
      <c r="CB1271"/>
    </row>
    <row r="1272" spans="4:80" s="20" customFormat="1" x14ac:dyDescent="0.25"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</row>
    <row r="1273" spans="4:80" s="20" customFormat="1" x14ac:dyDescent="0.25"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</row>
    <row r="1274" spans="4:80" s="20" customFormat="1" x14ac:dyDescent="0.25"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</row>
    <row r="1275" spans="4:80" s="20" customFormat="1" x14ac:dyDescent="0.25"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</row>
    <row r="1276" spans="4:80" s="20" customFormat="1" x14ac:dyDescent="0.25"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</row>
    <row r="1277" spans="4:80" s="20" customFormat="1" x14ac:dyDescent="0.25"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</row>
    <row r="1278" spans="4:80" s="20" customFormat="1" x14ac:dyDescent="0.25">
      <c r="D1278"/>
      <c r="E1278"/>
      <c r="F1278"/>
      <c r="G1278"/>
      <c r="H1278" s="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</row>
    <row r="1279" spans="4:80" s="20" customFormat="1" x14ac:dyDescent="0.25">
      <c r="D1279"/>
      <c r="E1279"/>
      <c r="F1279"/>
      <c r="G1279"/>
      <c r="H1279" s="8"/>
      <c r="I1279" s="8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</row>
    <row r="1280" spans="4:80" s="20" customFormat="1" x14ac:dyDescent="0.25"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</row>
    <row r="1281" spans="4:80" s="20" customFormat="1" x14ac:dyDescent="0.25">
      <c r="D1281"/>
      <c r="E1281"/>
      <c r="F1281"/>
      <c r="G1281"/>
      <c r="H1281" s="8"/>
      <c r="I1281" s="8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</row>
    <row r="1282" spans="4:80" s="20" customFormat="1" x14ac:dyDescent="0.25"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</row>
    <row r="1283" spans="4:80" s="20" customFormat="1" x14ac:dyDescent="0.25"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/>
    </row>
    <row r="1284" spans="4:80" s="20" customFormat="1" x14ac:dyDescent="0.25"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  <c r="CA1284"/>
      <c r="CB1284"/>
    </row>
    <row r="1285" spans="4:80" s="20" customFormat="1" x14ac:dyDescent="0.25"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</row>
    <row r="1286" spans="4:80" s="20" customFormat="1" x14ac:dyDescent="0.25"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</row>
    <row r="1287" spans="4:80" s="20" customFormat="1" x14ac:dyDescent="0.25"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  <c r="CA1287"/>
      <c r="CB1287"/>
    </row>
    <row r="1288" spans="4:80" s="20" customFormat="1" x14ac:dyDescent="0.25"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/>
    </row>
    <row r="1289" spans="4:80" s="20" customFormat="1" x14ac:dyDescent="0.25">
      <c r="D1289"/>
      <c r="E1289"/>
      <c r="F1289"/>
      <c r="G1289"/>
      <c r="H1289" s="8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  <c r="CA1289"/>
      <c r="CB1289"/>
    </row>
    <row r="1290" spans="4:80" s="20" customFormat="1" x14ac:dyDescent="0.25"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  <c r="CA1290"/>
      <c r="CB1290"/>
    </row>
    <row r="1291" spans="4:80" s="20" customFormat="1" x14ac:dyDescent="0.25">
      <c r="D1291"/>
      <c r="E1291"/>
      <c r="F1291"/>
      <c r="G1291"/>
      <c r="H1291" s="8"/>
      <c r="I1291" s="8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  <c r="CA1291"/>
      <c r="CB1291"/>
    </row>
    <row r="1292" spans="4:80" s="20" customFormat="1" x14ac:dyDescent="0.25"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</row>
    <row r="1293" spans="4:80" s="20" customFormat="1" x14ac:dyDescent="0.25">
      <c r="D1293"/>
      <c r="E1293"/>
      <c r="F1293"/>
      <c r="G1293"/>
      <c r="H1293" s="8"/>
      <c r="I1293" s="8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  <c r="CA1293"/>
      <c r="CB1293"/>
    </row>
    <row r="1294" spans="4:80" s="20" customFormat="1" x14ac:dyDescent="0.25"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</row>
    <row r="1295" spans="4:80" s="20" customFormat="1" x14ac:dyDescent="0.25"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  <c r="CA1295"/>
      <c r="CB1295"/>
    </row>
    <row r="1296" spans="4:80" s="20" customFormat="1" x14ac:dyDescent="0.25"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</row>
    <row r="1297" spans="4:80" s="20" customFormat="1" x14ac:dyDescent="0.25"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  <c r="CA1297"/>
      <c r="CB1297"/>
    </row>
    <row r="1298" spans="4:80" s="20" customFormat="1" x14ac:dyDescent="0.25"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</row>
    <row r="1299" spans="4:80" s="20" customFormat="1" x14ac:dyDescent="0.25"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</row>
    <row r="1300" spans="4:80" s="20" customFormat="1" x14ac:dyDescent="0.25"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</row>
    <row r="1301" spans="4:80" s="20" customFormat="1" x14ac:dyDescent="0.25">
      <c r="D1301"/>
      <c r="E1301"/>
      <c r="F1301"/>
      <c r="G1301"/>
      <c r="H1301" s="8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</row>
    <row r="1302" spans="4:80" s="20" customFormat="1" x14ac:dyDescent="0.25"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</row>
    <row r="1303" spans="4:80" s="20" customFormat="1" x14ac:dyDescent="0.25">
      <c r="D1303"/>
      <c r="E1303"/>
      <c r="F1303"/>
      <c r="G1303"/>
      <c r="H1303" s="8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  <c r="CA1303"/>
      <c r="CB1303"/>
    </row>
    <row r="1304" spans="4:80" s="20" customFormat="1" x14ac:dyDescent="0.25"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  <c r="CA1304"/>
      <c r="CB1304"/>
    </row>
    <row r="1305" spans="4:80" s="20" customFormat="1" x14ac:dyDescent="0.25">
      <c r="D1305"/>
      <c r="E1305"/>
      <c r="F1305"/>
      <c r="G1305"/>
      <c r="H1305" s="8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  <c r="CA1305"/>
      <c r="CB1305"/>
    </row>
    <row r="1306" spans="4:80" s="20" customFormat="1" x14ac:dyDescent="0.25"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  <c r="CA1306"/>
      <c r="CB1306"/>
    </row>
    <row r="1307" spans="4:80" s="20" customFormat="1" x14ac:dyDescent="0.25"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  <c r="CA1307"/>
      <c r="CB1307"/>
    </row>
    <row r="1308" spans="4:80" s="20" customFormat="1" x14ac:dyDescent="0.25"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  <c r="CA1308"/>
      <c r="CB1308"/>
    </row>
    <row r="1309" spans="4:80" s="20" customFormat="1" x14ac:dyDescent="0.25"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  <c r="CA1309"/>
      <c r="CB1309"/>
    </row>
    <row r="1310" spans="4:80" s="20" customFormat="1" x14ac:dyDescent="0.25"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  <c r="CA1310"/>
      <c r="CB1310"/>
    </row>
    <row r="1311" spans="4:80" s="20" customFormat="1" x14ac:dyDescent="0.25"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  <c r="CA1311"/>
      <c r="CB1311"/>
    </row>
    <row r="1312" spans="4:80" s="20" customFormat="1" x14ac:dyDescent="0.25"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  <c r="CA1312"/>
      <c r="CB1312"/>
    </row>
    <row r="1313" spans="4:80" s="20" customFormat="1" x14ac:dyDescent="0.25">
      <c r="D1313"/>
      <c r="E1313"/>
      <c r="F1313"/>
      <c r="G1313"/>
      <c r="H1313" s="8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  <c r="CA1313"/>
      <c r="CB1313"/>
    </row>
    <row r="1314" spans="4:80" s="20" customFormat="1" x14ac:dyDescent="0.25"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  <c r="CA1314"/>
      <c r="CB1314"/>
    </row>
    <row r="1315" spans="4:80" s="20" customFormat="1" x14ac:dyDescent="0.25">
      <c r="D1315"/>
      <c r="E1315"/>
      <c r="F1315"/>
      <c r="G1315"/>
      <c r="H1315" s="8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  <c r="CA1315"/>
      <c r="CB1315"/>
    </row>
    <row r="1316" spans="4:80" s="20" customFormat="1" x14ac:dyDescent="0.25"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  <c r="CA1316"/>
      <c r="CB1316"/>
    </row>
    <row r="1317" spans="4:80" s="20" customFormat="1" x14ac:dyDescent="0.25">
      <c r="D1317"/>
      <c r="E1317"/>
      <c r="F1317"/>
      <c r="G1317"/>
      <c r="H1317" s="8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  <c r="CA1317"/>
      <c r="CB1317"/>
    </row>
    <row r="1318" spans="4:80" s="20" customFormat="1" x14ac:dyDescent="0.25"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  <c r="CA1318"/>
      <c r="CB1318"/>
    </row>
    <row r="1319" spans="4:80" s="20" customFormat="1" x14ac:dyDescent="0.25"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  <c r="CA1319"/>
      <c r="CB1319"/>
    </row>
    <row r="1320" spans="4:80" s="20" customFormat="1" x14ac:dyDescent="0.25"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  <c r="CA1320"/>
      <c r="CB1320"/>
    </row>
    <row r="1321" spans="4:80" s="20" customFormat="1" x14ac:dyDescent="0.25"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  <c r="CA1321"/>
      <c r="CB1321"/>
    </row>
    <row r="1322" spans="4:80" s="20" customFormat="1" x14ac:dyDescent="0.25"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  <c r="CA1322"/>
      <c r="CB1322"/>
    </row>
    <row r="1323" spans="4:80" s="20" customFormat="1" x14ac:dyDescent="0.25"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  <c r="CA1323"/>
      <c r="CB1323"/>
    </row>
    <row r="1324" spans="4:80" s="20" customFormat="1" x14ac:dyDescent="0.25"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  <c r="CA1324"/>
      <c r="CB1324"/>
    </row>
    <row r="1325" spans="4:80" s="20" customFormat="1" x14ac:dyDescent="0.25"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  <c r="CA1325"/>
      <c r="CB1325"/>
    </row>
    <row r="1326" spans="4:80" s="20" customFormat="1" x14ac:dyDescent="0.25"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  <c r="CA1326"/>
      <c r="CB1326"/>
    </row>
    <row r="1327" spans="4:80" s="20" customFormat="1" x14ac:dyDescent="0.25">
      <c r="D1327"/>
      <c r="E1327"/>
      <c r="F1327"/>
      <c r="G1327"/>
      <c r="H1327" s="8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  <c r="CA1327"/>
      <c r="CB1327"/>
    </row>
    <row r="1328" spans="4:80" s="20" customFormat="1" x14ac:dyDescent="0.25">
      <c r="D1328"/>
      <c r="E1328"/>
      <c r="F1328"/>
      <c r="G1328"/>
      <c r="H1328" s="8"/>
      <c r="I1328" s="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  <c r="CA1328"/>
      <c r="CB1328"/>
    </row>
    <row r="1329" spans="4:80" s="20" customFormat="1" x14ac:dyDescent="0.25"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  <c r="CA1329"/>
      <c r="CB1329"/>
    </row>
    <row r="1330" spans="4:80" s="20" customFormat="1" x14ac:dyDescent="0.25">
      <c r="D1330"/>
      <c r="E1330"/>
      <c r="F1330"/>
      <c r="G1330"/>
      <c r="H1330" s="8"/>
      <c r="I1330" s="8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  <c r="CA1330"/>
      <c r="CB1330"/>
    </row>
    <row r="1331" spans="4:80" s="20" customFormat="1" x14ac:dyDescent="0.25"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  <c r="CA1331"/>
      <c r="CB1331"/>
    </row>
    <row r="1332" spans="4:80" s="20" customFormat="1" x14ac:dyDescent="0.25"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  <c r="CA1332"/>
      <c r="CB1332"/>
    </row>
    <row r="1333" spans="4:80" s="20" customFormat="1" x14ac:dyDescent="0.25"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  <c r="CA1333"/>
      <c r="CB1333"/>
    </row>
    <row r="1334" spans="4:80" s="20" customFormat="1" x14ac:dyDescent="0.25"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  <c r="CA1334"/>
      <c r="CB1334"/>
    </row>
    <row r="1335" spans="4:80" s="20" customFormat="1" x14ac:dyDescent="0.25"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  <c r="CA1335"/>
      <c r="CB1335"/>
    </row>
    <row r="1336" spans="4:80" s="20" customFormat="1" x14ac:dyDescent="0.25"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  <c r="CA1336"/>
      <c r="CB1336"/>
    </row>
    <row r="1337" spans="4:80" s="20" customFormat="1" x14ac:dyDescent="0.25"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  <c r="CA1337"/>
      <c r="CB1337"/>
    </row>
    <row r="1338" spans="4:80" s="20" customFormat="1" x14ac:dyDescent="0.25">
      <c r="D1338"/>
      <c r="E1338"/>
      <c r="F1338"/>
      <c r="G1338"/>
      <c r="H1338" s="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  <c r="CA1338"/>
      <c r="CB1338"/>
    </row>
    <row r="1339" spans="4:80" s="20" customFormat="1" x14ac:dyDescent="0.25"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  <c r="CA1339"/>
      <c r="CB1339"/>
    </row>
    <row r="1340" spans="4:80" s="20" customFormat="1" x14ac:dyDescent="0.25">
      <c r="D1340"/>
      <c r="E1340"/>
      <c r="F1340"/>
      <c r="G1340"/>
      <c r="H1340" s="8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  <c r="CA1340"/>
      <c r="CB1340"/>
    </row>
    <row r="1341" spans="4:80" s="20" customFormat="1" x14ac:dyDescent="0.25"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  <c r="CA1341"/>
      <c r="CB1341"/>
    </row>
    <row r="1342" spans="4:80" s="20" customFormat="1" x14ac:dyDescent="0.25">
      <c r="D1342"/>
      <c r="E1342"/>
      <c r="F1342"/>
      <c r="G1342"/>
      <c r="H1342" s="8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  <c r="CA1342"/>
      <c r="CB1342"/>
    </row>
    <row r="1343" spans="4:80" s="20" customFormat="1" x14ac:dyDescent="0.25"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  <c r="CA1343"/>
      <c r="CB1343"/>
    </row>
    <row r="1344" spans="4:80" s="20" customFormat="1" x14ac:dyDescent="0.25"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  <c r="CA1344"/>
      <c r="CB1344"/>
    </row>
    <row r="1345" spans="4:80" s="20" customFormat="1" x14ac:dyDescent="0.25"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  <c r="CA1345"/>
      <c r="CB1345"/>
    </row>
    <row r="1346" spans="4:80" s="20" customFormat="1" x14ac:dyDescent="0.25"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  <c r="CA1346"/>
      <c r="CB1346"/>
    </row>
    <row r="1347" spans="4:80" s="20" customFormat="1" x14ac:dyDescent="0.25"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  <c r="CA1347"/>
      <c r="CB1347"/>
    </row>
    <row r="1348" spans="4:80" s="20" customFormat="1" x14ac:dyDescent="0.25"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  <c r="CA1348"/>
      <c r="CB1348"/>
    </row>
    <row r="1349" spans="4:80" s="20" customFormat="1" x14ac:dyDescent="0.25"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  <c r="CA1349"/>
      <c r="CB1349"/>
    </row>
    <row r="1350" spans="4:80" s="20" customFormat="1" x14ac:dyDescent="0.25">
      <c r="D1350"/>
      <c r="E1350"/>
      <c r="F1350"/>
      <c r="G1350"/>
      <c r="H1350" s="8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  <c r="CA1350"/>
      <c r="CB1350"/>
    </row>
    <row r="1351" spans="4:80" s="20" customFormat="1" x14ac:dyDescent="0.25"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  <c r="CA1351"/>
      <c r="CB1351"/>
    </row>
    <row r="1352" spans="4:80" s="20" customFormat="1" x14ac:dyDescent="0.25">
      <c r="D1352"/>
      <c r="E1352"/>
      <c r="F1352"/>
      <c r="G1352"/>
      <c r="H1352" s="8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  <c r="CA1352"/>
      <c r="CB1352"/>
    </row>
    <row r="1353" spans="4:80" s="20" customFormat="1" x14ac:dyDescent="0.25"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  <c r="CA1353"/>
      <c r="CB1353"/>
    </row>
    <row r="1354" spans="4:80" s="20" customFormat="1" x14ac:dyDescent="0.25">
      <c r="D1354"/>
      <c r="E1354"/>
      <c r="F1354"/>
      <c r="G1354"/>
      <c r="H1354" s="8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  <c r="CA1354"/>
      <c r="CB1354"/>
    </row>
    <row r="1355" spans="4:80" s="20" customFormat="1" x14ac:dyDescent="0.25"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  <c r="CA1355"/>
      <c r="CB1355"/>
    </row>
    <row r="1356" spans="4:80" s="20" customFormat="1" x14ac:dyDescent="0.25"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  <c r="CA1356"/>
      <c r="CB1356"/>
    </row>
    <row r="1357" spans="4:80" s="20" customFormat="1" x14ac:dyDescent="0.25"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  <c r="CA1357"/>
      <c r="CB1357"/>
    </row>
    <row r="1358" spans="4:80" s="20" customFormat="1" x14ac:dyDescent="0.25"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  <c r="CA1358"/>
      <c r="CB1358"/>
    </row>
    <row r="1359" spans="4:80" s="20" customFormat="1" x14ac:dyDescent="0.25"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  <c r="CA1359"/>
      <c r="CB1359"/>
    </row>
    <row r="1360" spans="4:80" s="20" customFormat="1" x14ac:dyDescent="0.25"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  <c r="CA1360"/>
      <c r="CB1360"/>
    </row>
    <row r="1361" spans="4:80" s="20" customFormat="1" x14ac:dyDescent="0.25"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  <c r="CA1361"/>
      <c r="CB1361"/>
    </row>
    <row r="1362" spans="4:80" s="20" customFormat="1" x14ac:dyDescent="0.25">
      <c r="D1362"/>
      <c r="E1362"/>
      <c r="F1362"/>
      <c r="G1362"/>
      <c r="H1362" s="8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  <c r="CA1362"/>
      <c r="CB1362"/>
    </row>
    <row r="1363" spans="4:80" s="20" customFormat="1" x14ac:dyDescent="0.25"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  <c r="CA1363"/>
      <c r="CB1363"/>
    </row>
    <row r="1364" spans="4:80" s="20" customFormat="1" x14ac:dyDescent="0.25">
      <c r="D1364"/>
      <c r="E1364"/>
      <c r="F1364"/>
      <c r="G1364"/>
      <c r="H1364" s="8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  <c r="CA1364"/>
      <c r="CB1364"/>
    </row>
    <row r="1365" spans="4:80" s="20" customFormat="1" x14ac:dyDescent="0.25"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  <c r="CA1365"/>
      <c r="CB1365"/>
    </row>
    <row r="1366" spans="4:80" s="20" customFormat="1" x14ac:dyDescent="0.25">
      <c r="D1366"/>
      <c r="E1366"/>
      <c r="F1366"/>
      <c r="G1366"/>
      <c r="H1366" s="8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  <c r="CA1366"/>
      <c r="CB1366"/>
    </row>
    <row r="1367" spans="4:80" s="20" customFormat="1" x14ac:dyDescent="0.25"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  <c r="CA1367"/>
      <c r="CB1367"/>
    </row>
    <row r="1368" spans="4:80" s="20" customFormat="1" x14ac:dyDescent="0.25"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  <c r="CA1368"/>
      <c r="CB1368"/>
    </row>
    <row r="1369" spans="4:80" s="20" customFormat="1" x14ac:dyDescent="0.25"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  <c r="CA1369"/>
      <c r="CB1369"/>
    </row>
    <row r="1370" spans="4:80" s="20" customFormat="1" x14ac:dyDescent="0.25"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  <c r="CA1370"/>
      <c r="CB1370"/>
    </row>
    <row r="1371" spans="4:80" s="20" customFormat="1" x14ac:dyDescent="0.25"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  <c r="CA1371"/>
      <c r="CB1371"/>
    </row>
    <row r="1372" spans="4:80" s="20" customFormat="1" x14ac:dyDescent="0.25"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  <c r="CA1372"/>
      <c r="CB1372"/>
    </row>
    <row r="1373" spans="4:80" s="20" customFormat="1" x14ac:dyDescent="0.25"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  <c r="CA1373"/>
      <c r="CB1373"/>
    </row>
    <row r="1374" spans="4:80" s="20" customFormat="1" x14ac:dyDescent="0.25"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  <c r="CA1374"/>
      <c r="CB1374"/>
    </row>
    <row r="1375" spans="4:80" s="20" customFormat="1" x14ac:dyDescent="0.25"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  <c r="CA1375"/>
      <c r="CB1375"/>
    </row>
    <row r="1376" spans="4:80" s="20" customFormat="1" x14ac:dyDescent="0.25">
      <c r="D1376"/>
      <c r="E1376"/>
      <c r="F1376"/>
      <c r="G1376"/>
      <c r="H1376" s="8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  <c r="CA1376"/>
      <c r="CB1376"/>
    </row>
    <row r="1377" spans="4:80" s="20" customFormat="1" x14ac:dyDescent="0.25">
      <c r="D1377"/>
      <c r="E1377"/>
      <c r="F1377"/>
      <c r="G1377"/>
      <c r="H1377" s="8"/>
      <c r="I1377" s="8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  <c r="CA1377"/>
      <c r="CB1377"/>
    </row>
    <row r="1378" spans="4:80" s="20" customFormat="1" x14ac:dyDescent="0.25"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  <c r="CA1378"/>
      <c r="CB1378"/>
    </row>
    <row r="1379" spans="4:80" s="20" customFormat="1" x14ac:dyDescent="0.25">
      <c r="D1379"/>
      <c r="E1379"/>
      <c r="F1379"/>
      <c r="G1379"/>
      <c r="H1379" s="8"/>
      <c r="I1379" s="8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  <c r="CA1379"/>
      <c r="CB1379"/>
    </row>
    <row r="1380" spans="4:80" s="20" customFormat="1" x14ac:dyDescent="0.25"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  <c r="CA1380"/>
      <c r="CB1380"/>
    </row>
    <row r="1381" spans="4:80" s="20" customFormat="1" x14ac:dyDescent="0.25"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  <c r="CA1381"/>
      <c r="CB1381"/>
    </row>
    <row r="1382" spans="4:80" s="20" customFormat="1" x14ac:dyDescent="0.25"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  <c r="CA1382"/>
      <c r="CB1382"/>
    </row>
    <row r="1383" spans="4:80" s="20" customFormat="1" x14ac:dyDescent="0.25"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  <c r="CA1383"/>
      <c r="CB1383"/>
    </row>
    <row r="1384" spans="4:80" s="20" customFormat="1" x14ac:dyDescent="0.25"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  <c r="CA1384"/>
      <c r="CB1384"/>
    </row>
    <row r="1385" spans="4:80" s="20" customFormat="1" x14ac:dyDescent="0.25"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  <c r="CA1385"/>
      <c r="CB1385"/>
    </row>
    <row r="1386" spans="4:80" s="20" customFormat="1" x14ac:dyDescent="0.25"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  <c r="CA1386"/>
      <c r="CB1386"/>
    </row>
    <row r="1387" spans="4:80" s="20" customFormat="1" x14ac:dyDescent="0.25">
      <c r="D1387"/>
      <c r="E1387"/>
      <c r="F1387"/>
      <c r="G1387"/>
      <c r="H1387" s="8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  <c r="CA1387"/>
      <c r="CB1387"/>
    </row>
    <row r="1388" spans="4:80" s="20" customFormat="1" x14ac:dyDescent="0.25"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  <c r="CA1388"/>
      <c r="CB1388"/>
    </row>
    <row r="1389" spans="4:80" s="20" customFormat="1" x14ac:dyDescent="0.25">
      <c r="D1389"/>
      <c r="E1389"/>
      <c r="F1389"/>
      <c r="G1389"/>
      <c r="H1389" s="8"/>
      <c r="I1389" s="8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  <c r="CA1389"/>
      <c r="CB1389"/>
    </row>
    <row r="1390" spans="4:80" s="20" customFormat="1" x14ac:dyDescent="0.25"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  <c r="CA1390"/>
      <c r="CB1390"/>
    </row>
    <row r="1391" spans="4:80" s="20" customFormat="1" x14ac:dyDescent="0.25">
      <c r="D1391"/>
      <c r="E1391"/>
      <c r="F1391"/>
      <c r="G1391"/>
      <c r="H1391" s="8"/>
      <c r="I1391" s="8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  <c r="CA1391"/>
      <c r="CB1391"/>
    </row>
    <row r="1392" spans="4:80" s="20" customFormat="1" x14ac:dyDescent="0.25"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  <c r="CA1392"/>
      <c r="CB1392"/>
    </row>
    <row r="1393" spans="4:80" s="20" customFormat="1" x14ac:dyDescent="0.25"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  <c r="CA1393"/>
      <c r="CB1393"/>
    </row>
    <row r="1394" spans="4:80" s="20" customFormat="1" x14ac:dyDescent="0.25"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  <c r="CA1394"/>
      <c r="CB1394"/>
    </row>
    <row r="1395" spans="4:80" s="20" customFormat="1" x14ac:dyDescent="0.25"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  <c r="CA1395"/>
      <c r="CB1395"/>
    </row>
    <row r="1396" spans="4:80" s="20" customFormat="1" x14ac:dyDescent="0.25"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  <c r="CA1396"/>
      <c r="CB1396"/>
    </row>
    <row r="1397" spans="4:80" s="20" customFormat="1" x14ac:dyDescent="0.25"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  <c r="CA1397"/>
      <c r="CB1397"/>
    </row>
    <row r="1398" spans="4:80" s="20" customFormat="1" x14ac:dyDescent="0.25"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  <c r="CA1398"/>
      <c r="CB1398"/>
    </row>
    <row r="1399" spans="4:80" s="20" customFormat="1" x14ac:dyDescent="0.25">
      <c r="D1399"/>
      <c r="E1399"/>
      <c r="F1399"/>
      <c r="G1399"/>
      <c r="H1399" s="8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  <c r="CA1399"/>
      <c r="CB1399"/>
    </row>
    <row r="1400" spans="4:80" s="20" customFormat="1" x14ac:dyDescent="0.25"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  <c r="CA1400"/>
      <c r="CB1400"/>
    </row>
    <row r="1401" spans="4:80" s="20" customFormat="1" x14ac:dyDescent="0.25">
      <c r="D1401"/>
      <c r="E1401"/>
      <c r="F1401"/>
      <c r="G1401"/>
      <c r="H1401" s="8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  <c r="CA1401"/>
      <c r="CB1401"/>
    </row>
    <row r="1402" spans="4:80" s="20" customFormat="1" x14ac:dyDescent="0.25"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  <c r="CA1402"/>
      <c r="CB1402"/>
    </row>
    <row r="1403" spans="4:80" s="20" customFormat="1" x14ac:dyDescent="0.25">
      <c r="D1403"/>
      <c r="E1403"/>
      <c r="F1403"/>
      <c r="G1403"/>
      <c r="H1403" s="8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  <c r="CA1403"/>
      <c r="CB1403"/>
    </row>
    <row r="1404" spans="4:80" s="20" customFormat="1" x14ac:dyDescent="0.25"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  <c r="CA1404"/>
      <c r="CB1404"/>
    </row>
    <row r="1405" spans="4:80" s="20" customFormat="1" x14ac:dyDescent="0.25"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  <c r="CA1405"/>
      <c r="CB1405"/>
    </row>
    <row r="1406" spans="4:80" s="20" customFormat="1" x14ac:dyDescent="0.25"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  <c r="CA1406"/>
      <c r="CB1406"/>
    </row>
    <row r="1407" spans="4:80" s="20" customFormat="1" x14ac:dyDescent="0.25"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  <c r="CA1407"/>
      <c r="CB1407"/>
    </row>
    <row r="1408" spans="4:80" s="20" customFormat="1" x14ac:dyDescent="0.25"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  <c r="CA1408"/>
      <c r="CB1408"/>
    </row>
    <row r="1409" spans="4:80" s="20" customFormat="1" x14ac:dyDescent="0.25"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  <c r="CA1409"/>
      <c r="CB1409"/>
    </row>
    <row r="1410" spans="4:80" s="20" customFormat="1" x14ac:dyDescent="0.25"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  <c r="CA1410"/>
      <c r="CB1410"/>
    </row>
    <row r="1411" spans="4:80" s="20" customFormat="1" x14ac:dyDescent="0.25">
      <c r="D1411"/>
      <c r="E1411"/>
      <c r="F1411"/>
      <c r="G1411"/>
      <c r="H1411" s="8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  <c r="CA1411"/>
      <c r="CB1411"/>
    </row>
    <row r="1412" spans="4:80" s="20" customFormat="1" x14ac:dyDescent="0.25"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  <c r="CA1412"/>
      <c r="CB1412"/>
    </row>
    <row r="1413" spans="4:80" s="20" customFormat="1" x14ac:dyDescent="0.25">
      <c r="D1413"/>
      <c r="E1413"/>
      <c r="F1413"/>
      <c r="G1413"/>
      <c r="H1413" s="8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  <c r="CA1413"/>
      <c r="CB1413"/>
    </row>
    <row r="1414" spans="4:80" s="20" customFormat="1" x14ac:dyDescent="0.25"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  <c r="CA1414"/>
      <c r="CB1414"/>
    </row>
    <row r="1415" spans="4:80" s="20" customFormat="1" x14ac:dyDescent="0.25">
      <c r="D1415"/>
      <c r="E1415"/>
      <c r="F1415"/>
      <c r="G1415"/>
      <c r="H1415" s="8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  <c r="CA1415"/>
      <c r="CB1415"/>
    </row>
    <row r="1416" spans="4:80" s="20" customFormat="1" x14ac:dyDescent="0.25"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  <c r="CA1416"/>
      <c r="CB1416"/>
    </row>
    <row r="1417" spans="4:80" s="20" customFormat="1" x14ac:dyDescent="0.25"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  <c r="CA1417"/>
      <c r="CB1417"/>
    </row>
    <row r="1418" spans="4:80" s="20" customFormat="1" x14ac:dyDescent="0.25"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  <c r="CA1418"/>
      <c r="CB1418"/>
    </row>
    <row r="1419" spans="4:80" s="20" customFormat="1" x14ac:dyDescent="0.25"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  <c r="CA1419"/>
      <c r="CB1419"/>
    </row>
    <row r="1420" spans="4:80" s="20" customFormat="1" x14ac:dyDescent="0.25"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  <c r="CA1420"/>
      <c r="CB1420"/>
    </row>
    <row r="1421" spans="4:80" s="20" customFormat="1" x14ac:dyDescent="0.25"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  <c r="CA1421"/>
      <c r="CB1421"/>
    </row>
    <row r="1422" spans="4:80" s="20" customFormat="1" x14ac:dyDescent="0.25"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  <c r="CA1422"/>
      <c r="CB1422"/>
    </row>
    <row r="1423" spans="4:80" s="20" customFormat="1" x14ac:dyDescent="0.25"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  <c r="CA1423"/>
      <c r="CB1423"/>
    </row>
    <row r="1424" spans="4:80" s="20" customFormat="1" x14ac:dyDescent="0.25"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  <c r="CA1424"/>
      <c r="CB1424"/>
    </row>
    <row r="1425" spans="4:80" s="20" customFormat="1" x14ac:dyDescent="0.25">
      <c r="D1425"/>
      <c r="E1425"/>
      <c r="F1425"/>
      <c r="G1425"/>
      <c r="H1425" s="8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  <c r="CA1425"/>
      <c r="CB1425"/>
    </row>
    <row r="1426" spans="4:80" s="20" customFormat="1" x14ac:dyDescent="0.25">
      <c r="D1426"/>
      <c r="E1426"/>
      <c r="F1426"/>
      <c r="G1426"/>
      <c r="H1426" s="8"/>
      <c r="I1426" s="8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  <c r="CA1426"/>
      <c r="CB1426"/>
    </row>
    <row r="1427" spans="4:80" s="20" customFormat="1" x14ac:dyDescent="0.25"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  <c r="CA1427"/>
      <c r="CB1427"/>
    </row>
    <row r="1428" spans="4:80" s="20" customFormat="1" x14ac:dyDescent="0.25">
      <c r="D1428"/>
      <c r="E1428"/>
      <c r="F1428"/>
      <c r="G1428"/>
      <c r="H1428" s="8"/>
      <c r="I1428" s="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  <c r="CA1428"/>
      <c r="CB1428"/>
    </row>
    <row r="1429" spans="4:80" s="20" customFormat="1" x14ac:dyDescent="0.25"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  <c r="CA1429"/>
      <c r="CB1429"/>
    </row>
    <row r="1430" spans="4:80" s="20" customFormat="1" x14ac:dyDescent="0.25"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  <c r="CA1430"/>
      <c r="CB1430"/>
    </row>
    <row r="1431" spans="4:80" s="20" customFormat="1" x14ac:dyDescent="0.25"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  <c r="CA1431"/>
      <c r="CB1431"/>
    </row>
    <row r="1432" spans="4:80" s="20" customFormat="1" x14ac:dyDescent="0.25"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  <c r="CA1432"/>
      <c r="CB1432"/>
    </row>
    <row r="1433" spans="4:80" s="20" customFormat="1" x14ac:dyDescent="0.25"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  <c r="CA1433"/>
      <c r="CB1433"/>
    </row>
    <row r="1434" spans="4:80" s="20" customFormat="1" x14ac:dyDescent="0.25"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  <c r="CA1434"/>
      <c r="CB1434"/>
    </row>
    <row r="1435" spans="4:80" s="20" customFormat="1" x14ac:dyDescent="0.25"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  <c r="CA1435"/>
      <c r="CB1435"/>
    </row>
    <row r="1436" spans="4:80" s="20" customFormat="1" x14ac:dyDescent="0.25">
      <c r="D1436"/>
      <c r="E1436"/>
      <c r="F1436"/>
      <c r="G1436"/>
      <c r="H1436" s="8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  <c r="CA1436"/>
      <c r="CB1436"/>
    </row>
    <row r="1437" spans="4:80" s="20" customFormat="1" x14ac:dyDescent="0.25"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  <c r="CA1437"/>
      <c r="CB1437"/>
    </row>
    <row r="1438" spans="4:80" s="20" customFormat="1" x14ac:dyDescent="0.25">
      <c r="D1438"/>
      <c r="E1438"/>
      <c r="F1438"/>
      <c r="G1438"/>
      <c r="H1438" s="8"/>
      <c r="I1438" s="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  <c r="CA1438"/>
      <c r="CB1438"/>
    </row>
    <row r="1439" spans="4:80" s="20" customFormat="1" x14ac:dyDescent="0.25"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  <c r="CA1439"/>
      <c r="CB1439"/>
    </row>
    <row r="1440" spans="4:80" s="20" customFormat="1" x14ac:dyDescent="0.25">
      <c r="D1440"/>
      <c r="E1440"/>
      <c r="F1440"/>
      <c r="G1440"/>
      <c r="H1440" s="8"/>
      <c r="I1440" s="8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  <c r="CA1440"/>
      <c r="CB1440"/>
    </row>
    <row r="1441" spans="4:80" s="20" customFormat="1" x14ac:dyDescent="0.25"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  <c r="CA1441"/>
      <c r="CB1441"/>
    </row>
    <row r="1442" spans="4:80" s="20" customFormat="1" x14ac:dyDescent="0.25"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  <c r="CA1442"/>
      <c r="CB1442"/>
    </row>
    <row r="1443" spans="4:80" s="20" customFormat="1" x14ac:dyDescent="0.25"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  <c r="CA1443"/>
      <c r="CB1443"/>
    </row>
    <row r="1444" spans="4:80" s="20" customFormat="1" x14ac:dyDescent="0.25"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  <c r="CA1444"/>
      <c r="CB1444"/>
    </row>
    <row r="1445" spans="4:80" s="20" customFormat="1" x14ac:dyDescent="0.25"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  <c r="CA1445"/>
      <c r="CB1445"/>
    </row>
    <row r="1446" spans="4:80" s="20" customFormat="1" x14ac:dyDescent="0.25"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  <c r="CA1446"/>
      <c r="CB1446"/>
    </row>
    <row r="1447" spans="4:80" s="20" customFormat="1" x14ac:dyDescent="0.25"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  <c r="CA1447"/>
      <c r="CB1447"/>
    </row>
    <row r="1448" spans="4:80" s="20" customFormat="1" x14ac:dyDescent="0.25">
      <c r="D1448"/>
      <c r="E1448"/>
      <c r="F1448"/>
      <c r="G1448"/>
      <c r="H1448" s="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  <c r="CA1448"/>
      <c r="CB1448"/>
    </row>
    <row r="1449" spans="4:80" s="20" customFormat="1" x14ac:dyDescent="0.25"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  <c r="CA1449"/>
      <c r="CB1449"/>
    </row>
    <row r="1450" spans="4:80" s="20" customFormat="1" x14ac:dyDescent="0.25">
      <c r="D1450"/>
      <c r="E1450"/>
      <c r="F1450"/>
      <c r="G1450"/>
      <c r="H1450" s="8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  <c r="CA1450"/>
      <c r="CB1450"/>
    </row>
    <row r="1451" spans="4:80" s="20" customFormat="1" x14ac:dyDescent="0.25"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  <c r="CA1451"/>
      <c r="CB1451"/>
    </row>
    <row r="1452" spans="4:80" s="20" customFormat="1" x14ac:dyDescent="0.25">
      <c r="D1452"/>
      <c r="E1452"/>
      <c r="F1452"/>
      <c r="G1452"/>
      <c r="H1452" s="8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  <c r="CA1452"/>
      <c r="CB1452"/>
    </row>
    <row r="1453" spans="4:80" s="20" customFormat="1" x14ac:dyDescent="0.25"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  <c r="CA1453"/>
      <c r="CB1453"/>
    </row>
    <row r="1454" spans="4:80" s="20" customFormat="1" x14ac:dyDescent="0.25"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  <c r="CA1454"/>
      <c r="CB1454"/>
    </row>
    <row r="1455" spans="4:80" s="20" customFormat="1" x14ac:dyDescent="0.25"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  <c r="CA1455"/>
      <c r="CB1455"/>
    </row>
    <row r="1456" spans="4:80" s="20" customFormat="1" x14ac:dyDescent="0.25"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  <c r="CA1456"/>
      <c r="CB1456"/>
    </row>
    <row r="1457" spans="4:80" s="20" customFormat="1" x14ac:dyDescent="0.25"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  <c r="CA1457"/>
      <c r="CB1457"/>
    </row>
    <row r="1458" spans="4:80" s="20" customFormat="1" x14ac:dyDescent="0.25"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  <c r="CA1458"/>
      <c r="CB1458"/>
    </row>
    <row r="1459" spans="4:80" s="20" customFormat="1" x14ac:dyDescent="0.25"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  <c r="CA1459"/>
      <c r="CB1459"/>
    </row>
    <row r="1460" spans="4:80" s="20" customFormat="1" x14ac:dyDescent="0.25">
      <c r="D1460"/>
      <c r="E1460"/>
      <c r="F1460"/>
      <c r="G1460"/>
      <c r="H1460" s="8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  <c r="CA1460"/>
      <c r="CB1460"/>
    </row>
    <row r="1461" spans="4:80" s="20" customFormat="1" x14ac:dyDescent="0.25"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  <c r="CA1461"/>
      <c r="CB1461"/>
    </row>
    <row r="1462" spans="4:80" s="20" customFormat="1" x14ac:dyDescent="0.25">
      <c r="D1462"/>
      <c r="E1462"/>
      <c r="F1462"/>
      <c r="G1462"/>
      <c r="H1462" s="8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  <c r="CA1462"/>
      <c r="CB1462"/>
    </row>
    <row r="1463" spans="4:80" s="20" customFormat="1" x14ac:dyDescent="0.25"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  <c r="CA1463"/>
      <c r="CB1463"/>
    </row>
    <row r="1464" spans="4:80" s="20" customFormat="1" x14ac:dyDescent="0.25">
      <c r="D1464"/>
      <c r="E1464"/>
      <c r="F1464"/>
      <c r="G1464"/>
      <c r="H1464" s="8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  <c r="CA1464"/>
      <c r="CB1464"/>
    </row>
    <row r="1465" spans="4:80" s="20" customFormat="1" x14ac:dyDescent="0.25"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  <c r="CA1465"/>
      <c r="CB1465"/>
    </row>
    <row r="1466" spans="4:80" s="20" customFormat="1" x14ac:dyDescent="0.25"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  <c r="CA1466"/>
      <c r="CB1466"/>
    </row>
    <row r="1467" spans="4:80" s="20" customFormat="1" x14ac:dyDescent="0.25"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  <c r="CA1467"/>
      <c r="CB1467"/>
    </row>
    <row r="1468" spans="4:80" s="20" customFormat="1" x14ac:dyDescent="0.25"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  <c r="CA1468"/>
      <c r="CB1468"/>
    </row>
    <row r="1469" spans="4:80" s="20" customFormat="1" x14ac:dyDescent="0.25"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  <c r="CA1469"/>
      <c r="CB1469"/>
    </row>
    <row r="1470" spans="4:80" s="20" customFormat="1" x14ac:dyDescent="0.25"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  <c r="CA1470"/>
      <c r="CB1470"/>
    </row>
    <row r="1471" spans="4:80" s="20" customFormat="1" x14ac:dyDescent="0.25"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  <c r="CA1471"/>
      <c r="CB1471"/>
    </row>
    <row r="1472" spans="4:80" s="20" customFormat="1" x14ac:dyDescent="0.25"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  <c r="CA1472"/>
      <c r="CB1472"/>
    </row>
    <row r="1473" spans="4:80" s="20" customFormat="1" x14ac:dyDescent="0.25"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  <c r="CA1473"/>
      <c r="CB1473"/>
    </row>
    <row r="1474" spans="4:80" s="20" customFormat="1" x14ac:dyDescent="0.25">
      <c r="D1474"/>
      <c r="E1474"/>
      <c r="F1474"/>
      <c r="G1474"/>
      <c r="H1474" s="8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  <c r="CA1474"/>
      <c r="CB1474"/>
    </row>
    <row r="1475" spans="4:80" s="20" customFormat="1" x14ac:dyDescent="0.25">
      <c r="D1475"/>
      <c r="E1475"/>
      <c r="F1475"/>
      <c r="G1475"/>
      <c r="H1475" s="8"/>
      <c r="I1475" s="8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  <c r="CA1475"/>
      <c r="CB1475"/>
    </row>
    <row r="1476" spans="4:80" s="20" customFormat="1" x14ac:dyDescent="0.25"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  <c r="CA1476"/>
      <c r="CB1476"/>
    </row>
    <row r="1477" spans="4:80" s="20" customFormat="1" x14ac:dyDescent="0.25">
      <c r="D1477"/>
      <c r="E1477"/>
      <c r="F1477"/>
      <c r="G1477"/>
      <c r="H1477" s="8"/>
      <c r="I1477" s="8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  <c r="CA1477"/>
      <c r="CB1477"/>
    </row>
    <row r="1478" spans="4:80" s="20" customFormat="1" x14ac:dyDescent="0.25"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  <c r="CA1478"/>
      <c r="CB1478"/>
    </row>
    <row r="1479" spans="4:80" s="20" customFormat="1" x14ac:dyDescent="0.25"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  <c r="CA1479"/>
      <c r="CB1479"/>
    </row>
    <row r="1480" spans="4:80" s="20" customFormat="1" x14ac:dyDescent="0.25"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  <c r="CA1480"/>
      <c r="CB1480"/>
    </row>
    <row r="1481" spans="4:80" s="20" customFormat="1" x14ac:dyDescent="0.25"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  <c r="CA1481"/>
      <c r="CB1481"/>
    </row>
    <row r="1482" spans="4:80" s="20" customFormat="1" x14ac:dyDescent="0.25"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  <c r="CA1482"/>
      <c r="CB1482"/>
    </row>
    <row r="1483" spans="4:80" s="20" customFormat="1" x14ac:dyDescent="0.25"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  <c r="CA1483"/>
      <c r="CB1483"/>
    </row>
    <row r="1484" spans="4:80" s="20" customFormat="1" x14ac:dyDescent="0.25"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  <c r="CA1484"/>
      <c r="CB1484"/>
    </row>
    <row r="1485" spans="4:80" s="20" customFormat="1" x14ac:dyDescent="0.25">
      <c r="D1485"/>
      <c r="E1485"/>
      <c r="F1485"/>
      <c r="G1485"/>
      <c r="H1485" s="8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  <c r="CA1485"/>
      <c r="CB1485"/>
    </row>
    <row r="1486" spans="4:80" s="20" customFormat="1" x14ac:dyDescent="0.25"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  <c r="CA1486"/>
      <c r="CB1486"/>
    </row>
    <row r="1487" spans="4:80" s="20" customFormat="1" x14ac:dyDescent="0.25">
      <c r="D1487"/>
      <c r="E1487"/>
      <c r="F1487"/>
      <c r="G1487"/>
      <c r="H1487" s="8"/>
      <c r="I1487" s="8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  <c r="CA1487"/>
      <c r="CB1487"/>
    </row>
    <row r="1488" spans="4:80" s="20" customFormat="1" x14ac:dyDescent="0.25"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  <c r="CA1488"/>
      <c r="CB1488"/>
    </row>
    <row r="1489" spans="4:80" s="20" customFormat="1" x14ac:dyDescent="0.25">
      <c r="D1489"/>
      <c r="E1489"/>
      <c r="F1489"/>
      <c r="G1489"/>
      <c r="H1489" s="8"/>
      <c r="I1489" s="8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  <c r="CA1489"/>
      <c r="CB1489"/>
    </row>
    <row r="1490" spans="4:80" s="20" customFormat="1" x14ac:dyDescent="0.25"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  <c r="CA1490"/>
      <c r="CB1490"/>
    </row>
    <row r="1491" spans="4:80" s="20" customFormat="1" x14ac:dyDescent="0.25"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  <c r="CA1491"/>
      <c r="CB1491"/>
    </row>
    <row r="1492" spans="4:80" s="20" customFormat="1" x14ac:dyDescent="0.25"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  <c r="CA1492"/>
      <c r="CB1492"/>
    </row>
    <row r="1493" spans="4:80" s="20" customFormat="1" x14ac:dyDescent="0.25"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  <c r="CA1493"/>
      <c r="CB1493"/>
    </row>
    <row r="1494" spans="4:80" s="20" customFormat="1" x14ac:dyDescent="0.25"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  <c r="CA1494"/>
      <c r="CB1494"/>
    </row>
    <row r="1495" spans="4:80" s="20" customFormat="1" x14ac:dyDescent="0.25"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  <c r="CA1495"/>
      <c r="CB1495"/>
    </row>
    <row r="1496" spans="4:80" s="20" customFormat="1" x14ac:dyDescent="0.25"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  <c r="CA1496"/>
      <c r="CB1496"/>
    </row>
    <row r="1497" spans="4:80" s="20" customFormat="1" x14ac:dyDescent="0.25">
      <c r="D1497"/>
      <c r="E1497"/>
      <c r="F1497"/>
      <c r="G1497"/>
      <c r="H1497" s="8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  <c r="CA1497"/>
      <c r="CB1497"/>
    </row>
    <row r="1498" spans="4:80" s="20" customFormat="1" x14ac:dyDescent="0.25"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  <c r="CA1498"/>
      <c r="CB1498"/>
    </row>
    <row r="1499" spans="4:80" s="20" customFormat="1" x14ac:dyDescent="0.25">
      <c r="D1499"/>
      <c r="E1499"/>
      <c r="F1499"/>
      <c r="G1499"/>
      <c r="H1499" s="8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  <c r="CA1499"/>
      <c r="CB1499"/>
    </row>
    <row r="1500" spans="4:80" s="20" customFormat="1" x14ac:dyDescent="0.25"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  <c r="CA1500"/>
      <c r="CB1500"/>
    </row>
    <row r="1501" spans="4:80" s="20" customFormat="1" x14ac:dyDescent="0.25">
      <c r="D1501"/>
      <c r="E1501"/>
      <c r="F1501"/>
      <c r="G1501"/>
      <c r="H1501" s="8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  <c r="CA1501"/>
      <c r="CB1501"/>
    </row>
    <row r="1502" spans="4:80" s="20" customFormat="1" x14ac:dyDescent="0.25"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  <c r="CA1502"/>
      <c r="CB1502"/>
    </row>
    <row r="1503" spans="4:80" s="20" customFormat="1" x14ac:dyDescent="0.25"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  <c r="CA1503"/>
      <c r="CB1503"/>
    </row>
    <row r="1504" spans="4:80" s="20" customFormat="1" x14ac:dyDescent="0.25"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  <c r="CA1504"/>
      <c r="CB1504"/>
    </row>
    <row r="1505" spans="4:80" s="20" customFormat="1" x14ac:dyDescent="0.25"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  <c r="CA1505"/>
      <c r="CB1505"/>
    </row>
    <row r="1506" spans="4:80" s="20" customFormat="1" x14ac:dyDescent="0.25"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  <c r="CA1506"/>
      <c r="CB1506"/>
    </row>
    <row r="1507" spans="4:80" s="20" customFormat="1" x14ac:dyDescent="0.25"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  <c r="CA1507"/>
      <c r="CB1507"/>
    </row>
    <row r="1508" spans="4:80" s="20" customFormat="1" x14ac:dyDescent="0.25"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  <c r="CA1508"/>
      <c r="CB1508"/>
    </row>
    <row r="1509" spans="4:80" s="20" customFormat="1" x14ac:dyDescent="0.25">
      <c r="D1509"/>
      <c r="E1509"/>
      <c r="F1509"/>
      <c r="G1509"/>
      <c r="H1509" s="8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  <c r="CA1509"/>
      <c r="CB1509"/>
    </row>
    <row r="1510" spans="4:80" s="20" customFormat="1" x14ac:dyDescent="0.25"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  <c r="CA1510"/>
      <c r="CB1510"/>
    </row>
    <row r="1511" spans="4:80" s="20" customFormat="1" x14ac:dyDescent="0.25">
      <c r="D1511"/>
      <c r="E1511"/>
      <c r="F1511"/>
      <c r="G1511"/>
      <c r="H1511" s="8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  <c r="CA1511"/>
      <c r="CB1511"/>
    </row>
    <row r="1512" spans="4:80" s="20" customFormat="1" x14ac:dyDescent="0.25"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  <c r="CA1512"/>
      <c r="CB1512"/>
    </row>
    <row r="1513" spans="4:80" s="20" customFormat="1" x14ac:dyDescent="0.25">
      <c r="D1513"/>
      <c r="E1513"/>
      <c r="F1513"/>
      <c r="G1513"/>
      <c r="H1513" s="8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  <c r="CA1513"/>
      <c r="CB1513"/>
    </row>
    <row r="1514" spans="4:80" s="20" customFormat="1" x14ac:dyDescent="0.25"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  <c r="CA1514"/>
      <c r="CB1514"/>
    </row>
    <row r="1515" spans="4:80" s="20" customFormat="1" x14ac:dyDescent="0.25"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  <c r="CA1515"/>
      <c r="CB1515"/>
    </row>
    <row r="1516" spans="4:80" s="20" customFormat="1" x14ac:dyDescent="0.25"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  <c r="CA1516"/>
      <c r="CB1516"/>
    </row>
    <row r="1517" spans="4:80" s="20" customFormat="1" x14ac:dyDescent="0.25"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  <c r="CA1517"/>
      <c r="CB1517"/>
    </row>
    <row r="1518" spans="4:80" s="20" customFormat="1" x14ac:dyDescent="0.25"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  <c r="CA1518"/>
      <c r="CB1518"/>
    </row>
    <row r="1519" spans="4:80" s="20" customFormat="1" x14ac:dyDescent="0.25"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  <c r="CA1519"/>
      <c r="CB1519"/>
    </row>
    <row r="1520" spans="4:80" s="20" customFormat="1" x14ac:dyDescent="0.25"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  <c r="CA1520"/>
      <c r="CB1520"/>
    </row>
    <row r="1521" spans="4:80" s="20" customFormat="1" x14ac:dyDescent="0.25"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  <c r="CA1521"/>
      <c r="CB1521"/>
    </row>
    <row r="1522" spans="4:80" s="20" customFormat="1" x14ac:dyDescent="0.25"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  <c r="CA1522"/>
      <c r="CB1522"/>
    </row>
    <row r="1523" spans="4:80" s="20" customFormat="1" x14ac:dyDescent="0.25">
      <c r="D1523"/>
      <c r="E1523"/>
      <c r="F1523"/>
      <c r="G1523"/>
      <c r="H1523" s="8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  <c r="CA1523"/>
      <c r="CB1523"/>
    </row>
    <row r="1524" spans="4:80" s="20" customFormat="1" x14ac:dyDescent="0.25">
      <c r="D1524"/>
      <c r="E1524"/>
      <c r="F1524"/>
      <c r="G1524"/>
      <c r="H1524" s="8"/>
      <c r="I1524" s="8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  <c r="CA1524"/>
      <c r="CB1524"/>
    </row>
    <row r="1525" spans="4:80" s="20" customFormat="1" x14ac:dyDescent="0.25"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  <c r="CA1525"/>
      <c r="CB1525"/>
    </row>
    <row r="1526" spans="4:80" s="20" customFormat="1" x14ac:dyDescent="0.25">
      <c r="D1526"/>
      <c r="E1526"/>
      <c r="F1526"/>
      <c r="G1526"/>
      <c r="H1526" s="8"/>
      <c r="I1526" s="8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  <c r="CA1526"/>
      <c r="CB1526"/>
    </row>
    <row r="1527" spans="4:80" s="20" customFormat="1" x14ac:dyDescent="0.25"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  <c r="CA1527"/>
      <c r="CB1527"/>
    </row>
    <row r="1528" spans="4:80" s="20" customFormat="1" x14ac:dyDescent="0.25"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  <c r="CA1528"/>
      <c r="CB1528"/>
    </row>
    <row r="1529" spans="4:80" s="20" customFormat="1" x14ac:dyDescent="0.25"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  <c r="CA1529"/>
      <c r="CB1529"/>
    </row>
    <row r="1530" spans="4:80" s="20" customFormat="1" x14ac:dyDescent="0.25"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  <c r="CA1530"/>
      <c r="CB1530"/>
    </row>
    <row r="1531" spans="4:80" s="20" customFormat="1" x14ac:dyDescent="0.25"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  <c r="CA1531"/>
      <c r="CB1531"/>
    </row>
    <row r="1532" spans="4:80" s="20" customFormat="1" x14ac:dyDescent="0.25"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  <c r="CA1532"/>
      <c r="CB1532"/>
    </row>
    <row r="1533" spans="4:80" s="20" customFormat="1" x14ac:dyDescent="0.25"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  <c r="CA1533"/>
      <c r="CB1533"/>
    </row>
    <row r="1534" spans="4:80" s="20" customFormat="1" x14ac:dyDescent="0.25">
      <c r="D1534"/>
      <c r="E1534"/>
      <c r="F1534"/>
      <c r="G1534"/>
      <c r="H1534" s="8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  <c r="CA1534"/>
      <c r="CB1534"/>
    </row>
    <row r="1535" spans="4:80" s="20" customFormat="1" x14ac:dyDescent="0.25"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  <c r="CA1535"/>
      <c r="CB1535"/>
    </row>
    <row r="1536" spans="4:80" s="20" customFormat="1" x14ac:dyDescent="0.25">
      <c r="D1536"/>
      <c r="E1536"/>
      <c r="F1536"/>
      <c r="G1536"/>
      <c r="H1536" s="8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  <c r="CA1536"/>
      <c r="CB1536"/>
    </row>
    <row r="1537" spans="4:80" s="20" customFormat="1" x14ac:dyDescent="0.25"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  <c r="CA1537"/>
      <c r="CB1537"/>
    </row>
    <row r="1538" spans="4:80" s="20" customFormat="1" x14ac:dyDescent="0.25">
      <c r="D1538"/>
      <c r="E1538"/>
      <c r="F1538"/>
      <c r="G1538"/>
      <c r="H1538" s="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  <c r="CA1538"/>
      <c r="CB1538"/>
    </row>
    <row r="1539" spans="4:80" s="20" customFormat="1" x14ac:dyDescent="0.25"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  <c r="CA1539"/>
      <c r="CB1539"/>
    </row>
    <row r="1540" spans="4:80" s="20" customFormat="1" x14ac:dyDescent="0.25"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  <c r="CA1540"/>
      <c r="CB1540"/>
    </row>
    <row r="1541" spans="4:80" s="20" customFormat="1" x14ac:dyDescent="0.25"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  <c r="CA1541"/>
      <c r="CB1541"/>
    </row>
    <row r="1542" spans="4:80" s="20" customFormat="1" x14ac:dyDescent="0.25"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  <c r="CA1542"/>
      <c r="CB1542"/>
    </row>
    <row r="1543" spans="4:80" s="20" customFormat="1" x14ac:dyDescent="0.25"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  <c r="CA1543"/>
      <c r="CB1543"/>
    </row>
    <row r="1544" spans="4:80" s="20" customFormat="1" x14ac:dyDescent="0.25"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  <c r="CA1544"/>
      <c r="CB1544"/>
    </row>
    <row r="1545" spans="4:80" s="20" customFormat="1" x14ac:dyDescent="0.25"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  <c r="CA1545"/>
      <c r="CB1545"/>
    </row>
    <row r="1546" spans="4:80" s="20" customFormat="1" x14ac:dyDescent="0.25">
      <c r="D1546"/>
      <c r="E1546"/>
      <c r="F1546"/>
      <c r="G1546"/>
      <c r="H1546" s="8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  <c r="CA1546"/>
      <c r="CB1546"/>
    </row>
    <row r="1547" spans="4:80" s="20" customFormat="1" x14ac:dyDescent="0.25"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  <c r="CA1547"/>
      <c r="CB1547"/>
    </row>
    <row r="1548" spans="4:80" s="20" customFormat="1" x14ac:dyDescent="0.25">
      <c r="D1548"/>
      <c r="E1548"/>
      <c r="F1548"/>
      <c r="G1548"/>
      <c r="H1548" s="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  <c r="CA1548"/>
      <c r="CB1548"/>
    </row>
    <row r="1549" spans="4:80" s="20" customFormat="1" x14ac:dyDescent="0.25"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  <c r="CA1549"/>
      <c r="CB1549"/>
    </row>
    <row r="1550" spans="4:80" s="20" customFormat="1" x14ac:dyDescent="0.25">
      <c r="D1550"/>
      <c r="E1550"/>
      <c r="F1550"/>
      <c r="G1550"/>
      <c r="H1550" s="8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  <c r="CA1550"/>
      <c r="CB1550"/>
    </row>
    <row r="1551" spans="4:80" s="20" customFormat="1" x14ac:dyDescent="0.25"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  <c r="CA1551"/>
      <c r="CB1551"/>
    </row>
    <row r="1552" spans="4:80" s="20" customFormat="1" x14ac:dyDescent="0.25"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  <c r="CA1552"/>
      <c r="CB1552"/>
    </row>
    <row r="1553" spans="4:80" s="20" customFormat="1" x14ac:dyDescent="0.25"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  <c r="CA1553"/>
      <c r="CB1553"/>
    </row>
    <row r="1554" spans="4:80" s="20" customFormat="1" x14ac:dyDescent="0.25"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  <c r="CA1554"/>
      <c r="CB1554"/>
    </row>
    <row r="1555" spans="4:80" s="20" customFormat="1" x14ac:dyDescent="0.25"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  <c r="CA1555"/>
      <c r="CB1555"/>
    </row>
    <row r="1556" spans="4:80" s="20" customFormat="1" x14ac:dyDescent="0.25"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  <c r="CA1556"/>
      <c r="CB1556"/>
    </row>
    <row r="1557" spans="4:80" s="20" customFormat="1" x14ac:dyDescent="0.25"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  <c r="CA1557"/>
      <c r="CB1557"/>
    </row>
    <row r="1558" spans="4:80" s="20" customFormat="1" x14ac:dyDescent="0.25">
      <c r="D1558"/>
      <c r="E1558"/>
      <c r="F1558"/>
      <c r="G1558"/>
      <c r="H1558" s="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  <c r="CA1558"/>
      <c r="CB1558"/>
    </row>
    <row r="1559" spans="4:80" s="20" customFormat="1" x14ac:dyDescent="0.25"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  <c r="CA1559"/>
      <c r="CB1559"/>
    </row>
    <row r="1560" spans="4:80" s="20" customFormat="1" x14ac:dyDescent="0.25">
      <c r="D1560"/>
      <c r="E1560"/>
      <c r="F1560"/>
      <c r="G1560"/>
      <c r="H1560" s="8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  <c r="CA1560"/>
      <c r="CB1560"/>
    </row>
    <row r="1561" spans="4:80" s="20" customFormat="1" x14ac:dyDescent="0.25"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  <c r="CA1561"/>
      <c r="CB1561"/>
    </row>
    <row r="1562" spans="4:80" s="20" customFormat="1" x14ac:dyDescent="0.25">
      <c r="D1562"/>
      <c r="E1562"/>
      <c r="F1562"/>
      <c r="G1562"/>
      <c r="H1562" s="8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  <c r="CA1562"/>
      <c r="CB1562"/>
    </row>
    <row r="1563" spans="4:80" s="20" customFormat="1" x14ac:dyDescent="0.25"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  <c r="CA1563"/>
      <c r="CB1563"/>
    </row>
    <row r="1564" spans="4:80" s="20" customFormat="1" x14ac:dyDescent="0.25"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  <c r="CA1564"/>
      <c r="CB1564"/>
    </row>
    <row r="1565" spans="4:80" s="20" customFormat="1" x14ac:dyDescent="0.25"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  <c r="CA1565"/>
      <c r="CB1565"/>
    </row>
    <row r="1566" spans="4:80" s="20" customFormat="1" x14ac:dyDescent="0.25"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  <c r="CA1566"/>
      <c r="CB1566"/>
    </row>
    <row r="1567" spans="4:80" s="20" customFormat="1" x14ac:dyDescent="0.25"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  <c r="CA1567"/>
      <c r="CB1567"/>
    </row>
    <row r="1568" spans="4:80" s="20" customFormat="1" x14ac:dyDescent="0.25"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  <c r="CA1568"/>
      <c r="CB1568"/>
    </row>
    <row r="1569" spans="4:80" s="20" customFormat="1" x14ac:dyDescent="0.25"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  <c r="CA1569"/>
      <c r="CB1569"/>
    </row>
    <row r="1570" spans="4:80" s="20" customFormat="1" x14ac:dyDescent="0.25"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  <c r="CA1570"/>
      <c r="CB1570"/>
    </row>
    <row r="1571" spans="4:80" s="20" customFormat="1" x14ac:dyDescent="0.25"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  <c r="CA1571"/>
      <c r="CB1571"/>
    </row>
    <row r="1572" spans="4:80" s="20" customFormat="1" x14ac:dyDescent="0.25">
      <c r="D1572"/>
      <c r="E1572"/>
      <c r="F1572"/>
      <c r="G1572"/>
      <c r="H1572" s="8"/>
      <c r="I1572" s="8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  <c r="CA1572"/>
      <c r="CB1572"/>
    </row>
    <row r="1573" spans="4:80" s="20" customFormat="1" x14ac:dyDescent="0.25">
      <c r="D1573"/>
      <c r="E1573"/>
      <c r="F1573"/>
      <c r="G1573"/>
      <c r="H1573" s="8"/>
      <c r="I1573" s="8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  <c r="CA1573"/>
      <c r="CB1573"/>
    </row>
    <row r="1574" spans="4:80" s="20" customFormat="1" x14ac:dyDescent="0.25">
      <c r="D1574"/>
      <c r="E1574"/>
      <c r="F1574"/>
      <c r="G1574"/>
      <c r="H1574" s="8"/>
      <c r="I1574" s="8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  <c r="CA1574"/>
      <c r="CB1574"/>
    </row>
    <row r="1575" spans="4:80" s="20" customFormat="1" x14ac:dyDescent="0.25">
      <c r="D1575"/>
      <c r="E1575"/>
      <c r="F1575"/>
      <c r="G1575"/>
      <c r="H1575" s="8"/>
      <c r="I1575" s="8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  <c r="CA1575"/>
      <c r="CB1575"/>
    </row>
    <row r="1576" spans="4:80" s="20" customFormat="1" x14ac:dyDescent="0.25">
      <c r="D1576"/>
      <c r="E1576"/>
      <c r="F1576"/>
      <c r="G1576"/>
      <c r="H1576" s="8"/>
      <c r="I1576" s="8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  <c r="CA1576"/>
      <c r="CB1576"/>
    </row>
    <row r="1577" spans="4:80" s="20" customFormat="1" x14ac:dyDescent="0.25">
      <c r="D1577"/>
      <c r="E1577"/>
      <c r="F1577"/>
      <c r="G1577"/>
      <c r="H1577" s="8"/>
      <c r="I1577" s="8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  <c r="CA1577"/>
      <c r="CB1577"/>
    </row>
    <row r="1578" spans="4:80" s="20" customFormat="1" x14ac:dyDescent="0.25">
      <c r="D1578"/>
      <c r="E1578"/>
      <c r="F1578"/>
      <c r="G1578"/>
      <c r="H1578" s="8"/>
      <c r="I1578" s="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  <c r="CA1578"/>
      <c r="CB1578"/>
    </row>
    <row r="1579" spans="4:80" s="20" customFormat="1" x14ac:dyDescent="0.25">
      <c r="D1579"/>
      <c r="E1579"/>
      <c r="F1579"/>
      <c r="G1579"/>
      <c r="H1579" s="8"/>
      <c r="I1579" s="8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  <c r="CA1579"/>
      <c r="CB1579"/>
    </row>
    <row r="1580" spans="4:80" s="20" customFormat="1" x14ac:dyDescent="0.25">
      <c r="D1580"/>
      <c r="E1580"/>
      <c r="F1580"/>
      <c r="G1580"/>
      <c r="H1580" s="8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  <c r="CA1580"/>
      <c r="CB1580"/>
    </row>
    <row r="1581" spans="4:80" s="20" customFormat="1" x14ac:dyDescent="0.25">
      <c r="D1581"/>
      <c r="E1581"/>
      <c r="F1581"/>
      <c r="G1581"/>
      <c r="H1581" s="8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  <c r="CA1581"/>
      <c r="CB1581"/>
    </row>
    <row r="1582" spans="4:80" s="20" customFormat="1" x14ac:dyDescent="0.25">
      <c r="D1582"/>
      <c r="E1582"/>
      <c r="F1582"/>
      <c r="G1582"/>
      <c r="H1582" s="8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  <c r="CA1582"/>
      <c r="CB1582"/>
    </row>
    <row r="1583" spans="4:80" s="20" customFormat="1" x14ac:dyDescent="0.25">
      <c r="D1583"/>
      <c r="E1583"/>
      <c r="F1583"/>
      <c r="G1583"/>
      <c r="H1583" s="8"/>
      <c r="I1583" s="8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  <c r="CA1583"/>
      <c r="CB1583"/>
    </row>
    <row r="1584" spans="4:80" s="20" customFormat="1" x14ac:dyDescent="0.25">
      <c r="D1584"/>
      <c r="E1584"/>
      <c r="F1584"/>
      <c r="G1584"/>
      <c r="H1584" s="8"/>
      <c r="I1584" s="8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  <c r="CA1584"/>
      <c r="CB1584"/>
    </row>
    <row r="1585" spans="4:80" s="20" customFormat="1" x14ac:dyDescent="0.25">
      <c r="D1585"/>
      <c r="E1585"/>
      <c r="F1585"/>
      <c r="G1585"/>
      <c r="H1585" s="8"/>
      <c r="I1585" s="8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  <c r="CA1585"/>
      <c r="CB1585"/>
    </row>
    <row r="1586" spans="4:80" s="20" customFormat="1" x14ac:dyDescent="0.25">
      <c r="D1586"/>
      <c r="E1586"/>
      <c r="F1586"/>
      <c r="G1586"/>
      <c r="H1586" s="8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  <c r="CA1586"/>
      <c r="CB1586"/>
    </row>
    <row r="1587" spans="4:80" s="20" customFormat="1" x14ac:dyDescent="0.25">
      <c r="D1587"/>
      <c r="E1587"/>
      <c r="F1587"/>
      <c r="G1587"/>
      <c r="H1587" s="8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  <c r="CA1587"/>
      <c r="CB1587"/>
    </row>
    <row r="1588" spans="4:80" s="20" customFormat="1" x14ac:dyDescent="0.25">
      <c r="D1588"/>
      <c r="E1588"/>
      <c r="F1588"/>
      <c r="G1588"/>
      <c r="H1588" s="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  <c r="CA1588"/>
      <c r="CB1588"/>
    </row>
    <row r="1589" spans="4:80" s="20" customFormat="1" x14ac:dyDescent="0.25">
      <c r="D1589"/>
      <c r="E1589"/>
      <c r="F1589"/>
      <c r="G1589"/>
      <c r="H1589" s="8"/>
      <c r="I1589" s="8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  <c r="CA1589"/>
      <c r="CB1589"/>
    </row>
    <row r="1590" spans="4:80" s="20" customFormat="1" x14ac:dyDescent="0.25">
      <c r="D1590"/>
      <c r="E1590"/>
      <c r="F1590"/>
      <c r="G1590"/>
      <c r="H1590" s="8"/>
      <c r="I1590" s="8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  <c r="CA1590"/>
      <c r="CB1590"/>
    </row>
    <row r="1591" spans="4:80" s="20" customFormat="1" x14ac:dyDescent="0.25">
      <c r="D1591"/>
      <c r="E1591"/>
      <c r="F1591"/>
      <c r="G1591"/>
      <c r="H1591" s="8"/>
      <c r="I1591" s="8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  <c r="CA1591"/>
      <c r="CB1591"/>
    </row>
    <row r="1592" spans="4:80" s="20" customFormat="1" x14ac:dyDescent="0.25">
      <c r="D1592"/>
      <c r="E1592"/>
      <c r="F1592"/>
      <c r="G1592"/>
      <c r="H1592" s="8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  <c r="CA1592"/>
      <c r="CB1592"/>
    </row>
    <row r="1593" spans="4:80" s="20" customFormat="1" x14ac:dyDescent="0.25">
      <c r="D1593"/>
      <c r="E1593"/>
      <c r="F1593"/>
      <c r="G1593"/>
      <c r="H1593" s="8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  <c r="CA1593"/>
      <c r="CB1593"/>
    </row>
    <row r="1594" spans="4:80" s="20" customFormat="1" x14ac:dyDescent="0.25">
      <c r="D1594"/>
      <c r="E1594"/>
      <c r="F1594"/>
      <c r="G1594"/>
      <c r="H1594" s="8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  <c r="CA1594"/>
      <c r="CB1594"/>
    </row>
    <row r="1595" spans="4:80" s="20" customFormat="1" x14ac:dyDescent="0.25">
      <c r="D1595"/>
      <c r="E1595"/>
      <c r="F1595"/>
      <c r="G1595"/>
      <c r="H1595" s="8"/>
      <c r="I1595" s="8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  <c r="CA1595"/>
      <c r="CB1595"/>
    </row>
    <row r="1596" spans="4:80" s="20" customFormat="1" x14ac:dyDescent="0.25">
      <c r="D1596"/>
      <c r="E1596"/>
      <c r="F1596"/>
      <c r="G1596"/>
      <c r="H1596" s="8"/>
      <c r="I1596" s="8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  <c r="CA1596"/>
      <c r="CB1596"/>
    </row>
    <row r="1597" spans="4:80" s="20" customFormat="1" x14ac:dyDescent="0.25">
      <c r="D1597"/>
      <c r="E1597"/>
      <c r="F1597"/>
      <c r="G1597"/>
      <c r="H1597" s="8"/>
      <c r="I1597" s="8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  <c r="CA1597"/>
      <c r="CB1597"/>
    </row>
    <row r="1598" spans="4:80" s="20" customFormat="1" x14ac:dyDescent="0.25">
      <c r="D1598"/>
      <c r="E1598"/>
      <c r="F1598"/>
      <c r="G1598"/>
      <c r="H1598" s="8"/>
      <c r="I1598" s="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  <c r="CA1598"/>
      <c r="CB1598"/>
    </row>
    <row r="1599" spans="4:80" s="20" customFormat="1" x14ac:dyDescent="0.25">
      <c r="D1599"/>
      <c r="E1599"/>
      <c r="F1599"/>
      <c r="G1599"/>
      <c r="H1599" s="8"/>
      <c r="I1599" s="8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  <c r="CA1599"/>
      <c r="CB1599"/>
    </row>
    <row r="1600" spans="4:80" s="20" customFormat="1" x14ac:dyDescent="0.25">
      <c r="D1600"/>
      <c r="E1600"/>
      <c r="F1600"/>
      <c r="G1600"/>
      <c r="H1600" s="8"/>
      <c r="I1600" s="8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  <c r="CA1600"/>
      <c r="CB1600"/>
    </row>
    <row r="1601" spans="4:80" s="20" customFormat="1" x14ac:dyDescent="0.25">
      <c r="D1601"/>
      <c r="E1601"/>
      <c r="F1601"/>
      <c r="G1601"/>
      <c r="H1601" s="8"/>
      <c r="I1601" s="8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  <c r="CA1601"/>
      <c r="CB1601"/>
    </row>
    <row r="1602" spans="4:80" s="20" customFormat="1" x14ac:dyDescent="0.25">
      <c r="D1602"/>
      <c r="E1602"/>
      <c r="F1602"/>
      <c r="G1602"/>
      <c r="H1602" s="8"/>
      <c r="I1602" s="8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  <c r="CA1602"/>
      <c r="CB1602"/>
    </row>
    <row r="1603" spans="4:80" s="20" customFormat="1" x14ac:dyDescent="0.25">
      <c r="D1603"/>
      <c r="E1603"/>
      <c r="F1603"/>
      <c r="G1603"/>
      <c r="H1603" s="8"/>
      <c r="I1603" s="8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  <c r="CA1603"/>
      <c r="CB1603"/>
    </row>
    <row r="1604" spans="4:80" s="20" customFormat="1" x14ac:dyDescent="0.25">
      <c r="D1604"/>
      <c r="E1604"/>
      <c r="F1604"/>
      <c r="G1604"/>
      <c r="H1604" s="8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  <c r="CA1604"/>
      <c r="CB1604"/>
    </row>
    <row r="1605" spans="4:80" s="20" customFormat="1" x14ac:dyDescent="0.25">
      <c r="D1605"/>
      <c r="E1605"/>
      <c r="F1605"/>
      <c r="G1605"/>
      <c r="H1605" s="8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  <c r="CA1605"/>
      <c r="CB1605"/>
    </row>
    <row r="1606" spans="4:80" s="20" customFormat="1" x14ac:dyDescent="0.25">
      <c r="D1606"/>
      <c r="E1606"/>
      <c r="F1606"/>
      <c r="G1606"/>
      <c r="H1606" s="8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  <c r="CA1606"/>
      <c r="CB1606"/>
    </row>
    <row r="1607" spans="4:80" s="20" customFormat="1" x14ac:dyDescent="0.25">
      <c r="D1607"/>
      <c r="E1607"/>
      <c r="F1607"/>
      <c r="G1607"/>
      <c r="H1607" s="8"/>
      <c r="I1607" s="8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  <c r="CA1607"/>
      <c r="CB1607"/>
    </row>
    <row r="1608" spans="4:80" s="20" customFormat="1" x14ac:dyDescent="0.25">
      <c r="D1608"/>
      <c r="E1608"/>
      <c r="F1608"/>
      <c r="G1608"/>
      <c r="H1608" s="8"/>
      <c r="I1608" s="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  <c r="CA1608"/>
      <c r="CB1608"/>
    </row>
    <row r="1609" spans="4:80" s="20" customFormat="1" x14ac:dyDescent="0.25">
      <c r="D1609"/>
      <c r="E1609"/>
      <c r="F1609"/>
      <c r="G1609"/>
      <c r="H1609" s="8"/>
      <c r="I1609" s="8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  <c r="CA1609"/>
      <c r="CB1609"/>
    </row>
    <row r="1610" spans="4:80" s="20" customFormat="1" x14ac:dyDescent="0.25">
      <c r="D1610"/>
      <c r="E1610"/>
      <c r="F1610"/>
      <c r="G1610"/>
      <c r="H1610" s="8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  <c r="CA1610"/>
      <c r="CB1610"/>
    </row>
    <row r="1611" spans="4:80" s="20" customFormat="1" x14ac:dyDescent="0.25">
      <c r="D1611"/>
      <c r="E1611"/>
      <c r="F1611"/>
      <c r="G1611"/>
      <c r="H1611" s="8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  <c r="CA1611"/>
      <c r="CB1611"/>
    </row>
    <row r="1612" spans="4:80" s="20" customFormat="1" x14ac:dyDescent="0.25">
      <c r="D1612"/>
      <c r="E1612"/>
      <c r="F1612"/>
      <c r="G1612"/>
      <c r="H1612" s="8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  <c r="CA1612"/>
      <c r="CB1612"/>
    </row>
    <row r="1613" spans="4:80" s="20" customFormat="1" x14ac:dyDescent="0.25">
      <c r="D1613"/>
      <c r="E1613"/>
      <c r="F1613"/>
      <c r="G1613"/>
      <c r="H1613" s="8"/>
      <c r="I1613" s="8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  <c r="CA1613"/>
      <c r="CB1613"/>
    </row>
    <row r="1614" spans="4:80" s="20" customFormat="1" x14ac:dyDescent="0.25">
      <c r="D1614"/>
      <c r="E1614"/>
      <c r="F1614"/>
      <c r="G1614"/>
      <c r="H1614" s="8"/>
      <c r="I1614" s="8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  <c r="CA1614"/>
      <c r="CB1614"/>
    </row>
    <row r="1615" spans="4:80" s="20" customFormat="1" x14ac:dyDescent="0.25">
      <c r="D1615"/>
      <c r="E1615"/>
      <c r="F1615"/>
      <c r="G1615"/>
      <c r="H1615" s="8"/>
      <c r="I1615" s="8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  <c r="CA1615"/>
      <c r="CB1615"/>
    </row>
    <row r="1616" spans="4:80" s="20" customFormat="1" x14ac:dyDescent="0.25">
      <c r="D1616"/>
      <c r="E1616"/>
      <c r="F1616"/>
      <c r="G1616"/>
      <c r="H1616" s="8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  <c r="CA1616"/>
      <c r="CB1616"/>
    </row>
    <row r="1617" spans="4:80" s="20" customFormat="1" x14ac:dyDescent="0.25">
      <c r="D1617"/>
      <c r="E1617"/>
      <c r="F1617"/>
      <c r="G1617"/>
      <c r="H1617" s="8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  <c r="CA1617"/>
      <c r="CB1617"/>
    </row>
    <row r="1618" spans="4:80" s="20" customFormat="1" x14ac:dyDescent="0.25">
      <c r="D1618"/>
      <c r="E1618"/>
      <c r="F1618"/>
      <c r="G1618"/>
      <c r="H1618" s="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  <c r="CA1618"/>
      <c r="CB1618"/>
    </row>
    <row r="1619" spans="4:80" s="20" customFormat="1" x14ac:dyDescent="0.25">
      <c r="D1619"/>
      <c r="E1619"/>
      <c r="F1619"/>
      <c r="G1619"/>
      <c r="H1619" s="8"/>
      <c r="I1619" s="8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  <c r="CA1619"/>
      <c r="CB1619"/>
    </row>
    <row r="1620" spans="4:80" s="20" customFormat="1" x14ac:dyDescent="0.25">
      <c r="D1620"/>
      <c r="E1620"/>
      <c r="F1620"/>
      <c r="G1620"/>
      <c r="H1620" s="8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  <c r="CA1620"/>
      <c r="CB1620"/>
    </row>
    <row r="1621" spans="4:80" s="20" customFormat="1" x14ac:dyDescent="0.25">
      <c r="D1621"/>
      <c r="E1621"/>
      <c r="F1621"/>
      <c r="G1621"/>
      <c r="H1621" s="8"/>
      <c r="I1621" s="8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  <c r="CA1621"/>
      <c r="CB1621"/>
    </row>
    <row r="1622" spans="4:80" s="20" customFormat="1" x14ac:dyDescent="0.25"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  <c r="CA1622"/>
      <c r="CB1622"/>
    </row>
    <row r="1623" spans="4:80" s="20" customFormat="1" x14ac:dyDescent="0.25">
      <c r="D1623"/>
      <c r="E1623"/>
      <c r="F1623"/>
      <c r="G1623"/>
      <c r="H1623" s="8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  <c r="CA1623"/>
      <c r="CB1623"/>
    </row>
    <row r="1624" spans="4:80" s="20" customFormat="1" x14ac:dyDescent="0.25"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  <c r="CA1624"/>
      <c r="CB1624"/>
    </row>
    <row r="1625" spans="4:80" s="20" customFormat="1" x14ac:dyDescent="0.25">
      <c r="D1625"/>
      <c r="E1625"/>
      <c r="F1625"/>
      <c r="G1625"/>
      <c r="H1625" s="8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  <c r="CA1625"/>
      <c r="CB1625"/>
    </row>
    <row r="1626" spans="4:80" s="20" customFormat="1" x14ac:dyDescent="0.25">
      <c r="D1626"/>
      <c r="E1626"/>
      <c r="F1626"/>
      <c r="G1626"/>
      <c r="H1626" s="8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  <c r="CA1626"/>
      <c r="CB1626"/>
    </row>
    <row r="1627" spans="4:80" s="20" customFormat="1" x14ac:dyDescent="0.25">
      <c r="D1627"/>
      <c r="E1627"/>
      <c r="F1627"/>
      <c r="G1627"/>
      <c r="H1627" s="8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  <c r="CA1627"/>
      <c r="CB1627"/>
    </row>
    <row r="1628" spans="4:80" s="20" customFormat="1" x14ac:dyDescent="0.25"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  <c r="CA1628"/>
      <c r="CB1628"/>
    </row>
    <row r="1629" spans="4:80" s="20" customFormat="1" x14ac:dyDescent="0.25">
      <c r="D1629"/>
      <c r="E1629"/>
      <c r="F1629"/>
      <c r="G1629"/>
      <c r="H1629" s="8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  <c r="CA1629"/>
      <c r="CB1629"/>
    </row>
    <row r="1630" spans="4:80" s="20" customFormat="1" x14ac:dyDescent="0.25"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  <c r="CA1630"/>
      <c r="CB1630"/>
    </row>
    <row r="1631" spans="4:80" s="20" customFormat="1" x14ac:dyDescent="0.25">
      <c r="D1631"/>
      <c r="E1631"/>
      <c r="F1631"/>
      <c r="G1631"/>
      <c r="H1631" s="8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  <c r="CA1631"/>
      <c r="CB1631"/>
    </row>
    <row r="1632" spans="4:80" s="20" customFormat="1" x14ac:dyDescent="0.25"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  <c r="CA1632"/>
      <c r="CB1632"/>
    </row>
    <row r="1633" spans="4:80" s="20" customFormat="1" x14ac:dyDescent="0.25">
      <c r="D1633"/>
      <c r="E1633"/>
      <c r="F1633"/>
      <c r="G1633"/>
      <c r="H1633" s="8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  <c r="CA1633"/>
      <c r="CB1633"/>
    </row>
    <row r="1634" spans="4:80" s="20" customFormat="1" x14ac:dyDescent="0.25"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  <c r="CA1634"/>
      <c r="CB1634"/>
    </row>
    <row r="1635" spans="4:80" s="20" customFormat="1" x14ac:dyDescent="0.25">
      <c r="D1635"/>
      <c r="E1635"/>
      <c r="F1635"/>
      <c r="G1635"/>
      <c r="H1635" s="8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  <c r="CA1635"/>
      <c r="CB1635"/>
    </row>
    <row r="1636" spans="4:80" s="20" customFormat="1" x14ac:dyDescent="0.25"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  <c r="CA1636"/>
      <c r="CB1636"/>
    </row>
    <row r="1637" spans="4:80" s="20" customFormat="1" x14ac:dyDescent="0.25"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  <c r="CA1637"/>
      <c r="CB1637"/>
    </row>
    <row r="1638" spans="4:80" s="20" customFormat="1" x14ac:dyDescent="0.25"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  <c r="CA1638"/>
      <c r="CB1638"/>
    </row>
    <row r="1639" spans="4:80" s="20" customFormat="1" x14ac:dyDescent="0.25">
      <c r="D1639"/>
      <c r="E1639"/>
      <c r="F1639"/>
      <c r="G1639"/>
      <c r="H1639" s="8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  <c r="CA1639"/>
      <c r="CB1639"/>
    </row>
    <row r="1640" spans="4:80" s="20" customFormat="1" x14ac:dyDescent="0.25"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  <c r="CA1640"/>
      <c r="CB1640"/>
    </row>
    <row r="1641" spans="4:80" s="20" customFormat="1" x14ac:dyDescent="0.25"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  <c r="CA1641"/>
      <c r="CB1641"/>
    </row>
    <row r="1642" spans="4:80" s="20" customFormat="1" x14ac:dyDescent="0.25"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  <c r="CA1642"/>
      <c r="CB1642"/>
    </row>
    <row r="1643" spans="4:80" s="20" customFormat="1" x14ac:dyDescent="0.25"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  <c r="CA1643"/>
      <c r="CB1643"/>
    </row>
    <row r="1644" spans="4:80" s="20" customFormat="1" x14ac:dyDescent="0.25">
      <c r="D1644"/>
      <c r="E1644"/>
      <c r="F1644"/>
      <c r="G1644"/>
      <c r="H1644" s="8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  <c r="CA1644"/>
      <c r="CB1644"/>
    </row>
    <row r="1645" spans="4:80" s="20" customFormat="1" x14ac:dyDescent="0.25">
      <c r="D1645"/>
      <c r="E1645"/>
      <c r="F1645"/>
      <c r="G1645"/>
      <c r="H1645" s="8"/>
      <c r="I1645" s="8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  <c r="CA1645"/>
      <c r="CB1645"/>
    </row>
    <row r="1646" spans="4:80" s="20" customFormat="1" x14ac:dyDescent="0.25"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  <c r="CA1646"/>
      <c r="CB1646"/>
    </row>
    <row r="1647" spans="4:80" s="20" customFormat="1" x14ac:dyDescent="0.25">
      <c r="D1647"/>
      <c r="E1647"/>
      <c r="F1647"/>
      <c r="G1647"/>
      <c r="H1647" s="8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  <c r="CA1647"/>
      <c r="CB1647"/>
    </row>
    <row r="1648" spans="4:80" s="20" customFormat="1" x14ac:dyDescent="0.25"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  <c r="CA1648"/>
      <c r="CB1648"/>
    </row>
    <row r="1649" spans="4:80" s="20" customFormat="1" x14ac:dyDescent="0.25">
      <c r="D1649"/>
      <c r="E1649"/>
      <c r="F1649"/>
      <c r="G1649"/>
      <c r="H1649" s="8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  <c r="CA1649"/>
      <c r="CB1649"/>
    </row>
    <row r="1650" spans="4:80" s="20" customFormat="1" x14ac:dyDescent="0.25">
      <c r="D1650"/>
      <c r="E1650"/>
      <c r="F1650"/>
      <c r="G1650"/>
      <c r="H1650" s="8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  <c r="CA1650"/>
      <c r="CB1650"/>
    </row>
    <row r="1651" spans="4:80" s="20" customFormat="1" x14ac:dyDescent="0.25">
      <c r="D1651"/>
      <c r="E1651"/>
      <c r="F1651"/>
      <c r="G1651"/>
      <c r="H1651" s="8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  <c r="CA1651"/>
      <c r="CB1651"/>
    </row>
    <row r="1652" spans="4:80" s="20" customFormat="1" x14ac:dyDescent="0.25"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  <c r="CA1652"/>
      <c r="CB1652"/>
    </row>
    <row r="1653" spans="4:80" s="20" customFormat="1" x14ac:dyDescent="0.25">
      <c r="D1653"/>
      <c r="E1653"/>
      <c r="F1653"/>
      <c r="G1653"/>
      <c r="H1653" s="8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  <c r="CA1653"/>
      <c r="CB1653"/>
    </row>
    <row r="1654" spans="4:80" s="20" customFormat="1" x14ac:dyDescent="0.25"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  <c r="CA1654"/>
      <c r="CB1654"/>
    </row>
    <row r="1655" spans="4:80" s="20" customFormat="1" x14ac:dyDescent="0.25">
      <c r="D1655"/>
      <c r="E1655"/>
      <c r="F1655"/>
      <c r="G1655"/>
      <c r="H1655" s="8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  <c r="CA1655"/>
      <c r="CB1655"/>
    </row>
    <row r="1656" spans="4:80" s="20" customFormat="1" x14ac:dyDescent="0.25"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  <c r="CA1656"/>
      <c r="CB1656"/>
    </row>
    <row r="1657" spans="4:80" s="20" customFormat="1" x14ac:dyDescent="0.25">
      <c r="D1657"/>
      <c r="E1657"/>
      <c r="F1657"/>
      <c r="G1657"/>
      <c r="H1657" s="8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  <c r="CA1657"/>
      <c r="CB1657"/>
    </row>
    <row r="1658" spans="4:80" s="20" customFormat="1" x14ac:dyDescent="0.25"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  <c r="CA1658"/>
      <c r="CB1658"/>
    </row>
    <row r="1659" spans="4:80" s="20" customFormat="1" x14ac:dyDescent="0.25">
      <c r="D1659"/>
      <c r="E1659"/>
      <c r="F1659"/>
      <c r="G1659"/>
      <c r="H1659" s="8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  <c r="CA1659"/>
      <c r="CB1659"/>
    </row>
    <row r="1660" spans="4:80" s="20" customFormat="1" x14ac:dyDescent="0.25"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  <c r="CA1660"/>
      <c r="CB1660"/>
    </row>
    <row r="1661" spans="4:80" s="20" customFormat="1" x14ac:dyDescent="0.25"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  <c r="CA1661"/>
      <c r="CB1661"/>
    </row>
    <row r="1662" spans="4:80" s="20" customFormat="1" x14ac:dyDescent="0.25"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  <c r="CA1662"/>
      <c r="CB1662"/>
    </row>
    <row r="1663" spans="4:80" s="20" customFormat="1" x14ac:dyDescent="0.25">
      <c r="D1663"/>
      <c r="E1663"/>
      <c r="F1663"/>
      <c r="G1663"/>
      <c r="H1663" s="8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  <c r="CA1663"/>
      <c r="CB1663"/>
    </row>
    <row r="1664" spans="4:80" s="20" customFormat="1" x14ac:dyDescent="0.25"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  <c r="CA1664"/>
      <c r="CB1664"/>
    </row>
    <row r="1665" spans="4:80" s="20" customFormat="1" x14ac:dyDescent="0.25">
      <c r="D1665"/>
      <c r="E1665"/>
      <c r="F1665"/>
      <c r="G1665"/>
      <c r="H1665" s="8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  <c r="CA1665"/>
      <c r="CB1665"/>
    </row>
    <row r="1666" spans="4:80" s="20" customFormat="1" x14ac:dyDescent="0.25"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  <c r="CA1666"/>
      <c r="CB1666"/>
    </row>
    <row r="1667" spans="4:80" s="20" customFormat="1" x14ac:dyDescent="0.25"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  <c r="CA1667"/>
      <c r="CB1667"/>
    </row>
    <row r="1668" spans="4:80" s="20" customFormat="1" x14ac:dyDescent="0.25"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  <c r="CA1668"/>
      <c r="CB1668"/>
    </row>
    <row r="1669" spans="4:80" s="20" customFormat="1" x14ac:dyDescent="0.25">
      <c r="D1669"/>
      <c r="E1669"/>
      <c r="F1669"/>
      <c r="G1669"/>
      <c r="H1669" s="8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  <c r="CA1669"/>
      <c r="CB1669"/>
    </row>
    <row r="1670" spans="4:80" s="20" customFormat="1" x14ac:dyDescent="0.25"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  <c r="CA1670"/>
      <c r="CB1670"/>
    </row>
    <row r="1671" spans="4:80" s="20" customFormat="1" x14ac:dyDescent="0.25">
      <c r="D1671"/>
      <c r="E1671"/>
      <c r="F1671"/>
      <c r="G1671"/>
      <c r="H1671" s="8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  <c r="CA1671"/>
      <c r="CB1671"/>
    </row>
    <row r="1672" spans="4:80" s="20" customFormat="1" x14ac:dyDescent="0.25"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  <c r="CA1672"/>
      <c r="CB1672"/>
    </row>
    <row r="1673" spans="4:80" s="20" customFormat="1" x14ac:dyDescent="0.25"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  <c r="CA1673"/>
      <c r="CB1673"/>
    </row>
    <row r="1674" spans="4:80" s="20" customFormat="1" x14ac:dyDescent="0.25"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  <c r="CA1674"/>
      <c r="CB1674"/>
    </row>
    <row r="1675" spans="4:80" s="20" customFormat="1" x14ac:dyDescent="0.25">
      <c r="D1675"/>
      <c r="E1675"/>
      <c r="F1675"/>
      <c r="G1675"/>
      <c r="H1675" s="8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  <c r="CA1675"/>
      <c r="CB1675"/>
    </row>
    <row r="1676" spans="4:80" s="20" customFormat="1" x14ac:dyDescent="0.25"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  <c r="CA1676"/>
      <c r="CB1676"/>
    </row>
    <row r="1677" spans="4:80" s="20" customFormat="1" x14ac:dyDescent="0.25">
      <c r="D1677"/>
      <c r="E1677"/>
      <c r="F1677"/>
      <c r="G1677"/>
      <c r="H1677" s="8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  <c r="CA1677"/>
      <c r="CB1677"/>
    </row>
    <row r="1678" spans="4:80" s="20" customFormat="1" x14ac:dyDescent="0.25"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  <c r="CA1678"/>
      <c r="CB1678"/>
    </row>
    <row r="1679" spans="4:80" s="20" customFormat="1" x14ac:dyDescent="0.25"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  <c r="CA1679"/>
      <c r="CB1679"/>
    </row>
    <row r="1680" spans="4:80" s="20" customFormat="1" x14ac:dyDescent="0.25"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  <c r="CA1680"/>
      <c r="CB1680"/>
    </row>
    <row r="1681" spans="4:80" s="20" customFormat="1" x14ac:dyDescent="0.25">
      <c r="D1681"/>
      <c r="E1681"/>
      <c r="F1681"/>
      <c r="G1681"/>
      <c r="H1681" s="8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  <c r="CA1681"/>
      <c r="CB1681"/>
    </row>
    <row r="1682" spans="4:80" s="20" customFormat="1" x14ac:dyDescent="0.25"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  <c r="CA1682"/>
      <c r="CB1682"/>
    </row>
    <row r="1683" spans="4:80" s="20" customFormat="1" x14ac:dyDescent="0.25">
      <c r="D1683"/>
      <c r="E1683"/>
      <c r="F1683"/>
      <c r="G1683"/>
      <c r="H1683" s="8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  <c r="CA1683"/>
      <c r="CB1683"/>
    </row>
    <row r="1684" spans="4:80" s="20" customFormat="1" x14ac:dyDescent="0.25"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  <c r="CA1684"/>
      <c r="CB1684"/>
    </row>
    <row r="1685" spans="4:80" s="20" customFormat="1" x14ac:dyDescent="0.25"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  <c r="CA1685"/>
      <c r="CB1685"/>
    </row>
    <row r="1686" spans="4:80" s="20" customFormat="1" x14ac:dyDescent="0.25"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  <c r="CA1686"/>
      <c r="CB1686"/>
    </row>
    <row r="1687" spans="4:80" s="20" customFormat="1" x14ac:dyDescent="0.25">
      <c r="D1687"/>
      <c r="E1687"/>
      <c r="F1687"/>
      <c r="G1687"/>
      <c r="H1687" s="8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  <c r="CA1687"/>
      <c r="CB1687"/>
    </row>
    <row r="1688" spans="4:80" s="20" customFormat="1" x14ac:dyDescent="0.25"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  <c r="CA1688"/>
      <c r="CB1688"/>
    </row>
    <row r="1689" spans="4:80" s="20" customFormat="1" x14ac:dyDescent="0.25"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  <c r="CA1689"/>
      <c r="CB1689"/>
    </row>
    <row r="1690" spans="4:80" s="20" customFormat="1" x14ac:dyDescent="0.25"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  <c r="CA1690"/>
      <c r="CB1690"/>
    </row>
    <row r="1691" spans="4:80" s="20" customFormat="1" x14ac:dyDescent="0.25"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  <c r="CA1691"/>
      <c r="CB1691"/>
    </row>
    <row r="1692" spans="4:80" s="20" customFormat="1" x14ac:dyDescent="0.25">
      <c r="D1692"/>
      <c r="E1692"/>
      <c r="F1692"/>
      <c r="G1692"/>
      <c r="H1692" s="8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  <c r="CA1692"/>
      <c r="CB1692"/>
    </row>
    <row r="1693" spans="4:80" s="20" customFormat="1" x14ac:dyDescent="0.25">
      <c r="D1693"/>
      <c r="E1693"/>
      <c r="F1693"/>
      <c r="G1693"/>
      <c r="H1693" s="8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  <c r="CA1693"/>
      <c r="CB1693"/>
    </row>
    <row r="1694" spans="4:80" s="20" customFormat="1" x14ac:dyDescent="0.25">
      <c r="D1694"/>
      <c r="E1694"/>
      <c r="F1694"/>
      <c r="G1694"/>
      <c r="H1694" s="8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  <c r="CA1694"/>
      <c r="CB1694"/>
    </row>
    <row r="1695" spans="4:80" s="20" customFormat="1" x14ac:dyDescent="0.25">
      <c r="D1695"/>
      <c r="E1695"/>
      <c r="F1695"/>
      <c r="G1695"/>
      <c r="H1695" s="8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  <c r="CA1695"/>
      <c r="CB1695"/>
    </row>
    <row r="1696" spans="4:80" s="20" customFormat="1" x14ac:dyDescent="0.25">
      <c r="D1696"/>
      <c r="E1696"/>
      <c r="F1696"/>
      <c r="G1696"/>
      <c r="H1696" s="8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  <c r="CA1696"/>
      <c r="CB1696"/>
    </row>
    <row r="1697" spans="4:80" s="20" customFormat="1" x14ac:dyDescent="0.25">
      <c r="D1697"/>
      <c r="E1697"/>
      <c r="F1697"/>
      <c r="G1697"/>
      <c r="H1697" s="8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  <c r="CA1697"/>
      <c r="CB1697"/>
    </row>
    <row r="1698" spans="4:80" s="20" customFormat="1" x14ac:dyDescent="0.25">
      <c r="D1698"/>
      <c r="E1698"/>
      <c r="F1698"/>
      <c r="G1698"/>
      <c r="H1698" s="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  <c r="CA1698"/>
      <c r="CB1698"/>
    </row>
    <row r="1699" spans="4:80" s="20" customFormat="1" x14ac:dyDescent="0.25">
      <c r="D1699"/>
      <c r="E1699"/>
      <c r="F1699"/>
      <c r="G1699"/>
      <c r="H1699" s="8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  <c r="CA1699"/>
      <c r="CB1699"/>
    </row>
    <row r="1700" spans="4:80" s="20" customFormat="1" x14ac:dyDescent="0.25">
      <c r="D1700"/>
      <c r="E1700"/>
      <c r="F1700"/>
      <c r="G1700"/>
      <c r="H1700" s="8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  <c r="CA1700"/>
      <c r="CB1700"/>
    </row>
    <row r="1701" spans="4:80" s="20" customFormat="1" x14ac:dyDescent="0.25">
      <c r="D1701"/>
      <c r="E1701"/>
      <c r="F1701"/>
      <c r="G1701"/>
      <c r="H1701" s="8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  <c r="CA1701"/>
      <c r="CB1701"/>
    </row>
    <row r="1702" spans="4:80" s="20" customFormat="1" x14ac:dyDescent="0.25">
      <c r="D1702"/>
      <c r="E1702"/>
      <c r="F1702"/>
      <c r="G1702"/>
      <c r="H1702" s="8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  <c r="CA1702"/>
      <c r="CB1702"/>
    </row>
    <row r="1703" spans="4:80" s="20" customFormat="1" x14ac:dyDescent="0.25">
      <c r="D1703"/>
      <c r="E1703"/>
      <c r="F1703"/>
      <c r="G1703"/>
      <c r="H1703" s="8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  <c r="CA1703"/>
      <c r="CB1703"/>
    </row>
    <row r="1704" spans="4:80" s="20" customFormat="1" x14ac:dyDescent="0.25">
      <c r="D1704"/>
      <c r="E1704"/>
      <c r="F1704"/>
      <c r="G1704"/>
      <c r="H1704" s="8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  <c r="CA1704"/>
      <c r="CB1704"/>
    </row>
    <row r="1705" spans="4:80" s="20" customFormat="1" x14ac:dyDescent="0.25">
      <c r="D1705"/>
      <c r="E1705"/>
      <c r="F1705"/>
      <c r="G1705"/>
      <c r="H1705" s="8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  <c r="CA1705"/>
      <c r="CB1705"/>
    </row>
    <row r="1706" spans="4:80" s="20" customFormat="1" x14ac:dyDescent="0.25">
      <c r="D1706"/>
      <c r="E1706"/>
      <c r="F1706"/>
      <c r="G1706"/>
      <c r="H1706" s="8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  <c r="CA1706"/>
      <c r="CB1706"/>
    </row>
    <row r="1707" spans="4:80" s="20" customFormat="1" x14ac:dyDescent="0.25">
      <c r="D1707"/>
      <c r="E1707"/>
      <c r="F1707"/>
      <c r="G1707"/>
      <c r="H1707" s="8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  <c r="CA1707"/>
      <c r="CB1707"/>
    </row>
    <row r="1708" spans="4:80" s="20" customFormat="1" x14ac:dyDescent="0.25">
      <c r="D1708"/>
      <c r="E1708"/>
      <c r="F1708"/>
      <c r="G1708"/>
      <c r="H1708" s="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  <c r="CA1708"/>
      <c r="CB1708"/>
    </row>
    <row r="1709" spans="4:80" s="20" customFormat="1" x14ac:dyDescent="0.25">
      <c r="D1709"/>
      <c r="E1709"/>
      <c r="F1709"/>
      <c r="G1709"/>
      <c r="H1709" s="8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  <c r="CA1709"/>
      <c r="CB1709"/>
    </row>
    <row r="1710" spans="4:80" s="20" customFormat="1" x14ac:dyDescent="0.25">
      <c r="D1710"/>
      <c r="E1710"/>
      <c r="F1710"/>
      <c r="G1710"/>
      <c r="H1710" s="8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  <c r="CA1710"/>
      <c r="CB1710"/>
    </row>
    <row r="1711" spans="4:80" s="20" customFormat="1" x14ac:dyDescent="0.25">
      <c r="D1711"/>
      <c r="E1711"/>
      <c r="F1711"/>
      <c r="G1711"/>
      <c r="H1711" s="8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  <c r="CA1711"/>
      <c r="CB1711"/>
    </row>
    <row r="1712" spans="4:80" s="20" customFormat="1" x14ac:dyDescent="0.25"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  <c r="CA1712"/>
      <c r="CB1712"/>
    </row>
    <row r="1713" spans="4:80" s="20" customFormat="1" x14ac:dyDescent="0.25"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  <c r="CA1713"/>
      <c r="CB1713"/>
    </row>
    <row r="1714" spans="4:80" s="20" customFormat="1" x14ac:dyDescent="0.25"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  <c r="CA1714"/>
      <c r="CB1714"/>
    </row>
    <row r="1715" spans="4:80" s="20" customFormat="1" x14ac:dyDescent="0.25">
      <c r="D1715"/>
      <c r="E1715"/>
      <c r="F1715"/>
      <c r="G1715"/>
      <c r="H1715" s="8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  <c r="CA1715"/>
      <c r="CB1715"/>
    </row>
  </sheetData>
  <hyperlinks>
    <hyperlink ref="J1" location="Main_List" display="Return to Main"/>
    <hyperlink ref="J2" location="Main_List" display="Return to Main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View_AgeSelex_Data">
                <anchor moveWithCells="1" sizeWithCells="1">
                  <from>
                    <xdr:col>5</xdr:col>
                    <xdr:colOff>47625</xdr:colOff>
                    <xdr:row>0</xdr:row>
                    <xdr:rowOff>9525</xdr:rowOff>
                  </from>
                  <to>
                    <xdr:col>8</xdr:col>
                    <xdr:colOff>28575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7"/>
  <sheetViews>
    <sheetView workbookViewId="0"/>
  </sheetViews>
  <sheetFormatPr defaultRowHeight="15" x14ac:dyDescent="0.25"/>
  <sheetData>
    <row r="1" spans="1:38" ht="177" customHeight="1" x14ac:dyDescent="0.25">
      <c r="K1" s="18"/>
    </row>
    <row r="2" spans="1:38" x14ac:dyDescent="0.25">
      <c r="A2" t="s">
        <v>201</v>
      </c>
      <c r="B2" t="s">
        <v>29</v>
      </c>
      <c r="C2" t="s">
        <v>191</v>
      </c>
      <c r="D2" t="s">
        <v>202</v>
      </c>
      <c r="E2" t="s">
        <v>192</v>
      </c>
      <c r="F2" t="s">
        <v>203</v>
      </c>
      <c r="G2" t="s">
        <v>193</v>
      </c>
      <c r="H2">
        <v>0</v>
      </c>
      <c r="I2">
        <v>1</v>
      </c>
      <c r="J2">
        <v>2</v>
      </c>
      <c r="K2">
        <v>3</v>
      </c>
      <c r="L2">
        <v>4</v>
      </c>
      <c r="M2">
        <v>5</v>
      </c>
      <c r="N2">
        <v>6</v>
      </c>
      <c r="O2">
        <v>7</v>
      </c>
      <c r="P2">
        <v>8</v>
      </c>
      <c r="Q2">
        <v>9</v>
      </c>
      <c r="R2">
        <v>10</v>
      </c>
      <c r="S2">
        <v>11</v>
      </c>
      <c r="T2">
        <v>12</v>
      </c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</row>
    <row r="3" spans="1:38" x14ac:dyDescent="0.25">
      <c r="A3" t="s">
        <v>204</v>
      </c>
      <c r="B3">
        <v>1</v>
      </c>
      <c r="C3">
        <v>1957</v>
      </c>
      <c r="D3">
        <v>1</v>
      </c>
      <c r="E3">
        <v>1</v>
      </c>
      <c r="F3">
        <v>1</v>
      </c>
      <c r="G3" t="s">
        <v>307</v>
      </c>
      <c r="H3">
        <v>0</v>
      </c>
      <c r="I3">
        <v>0.18268400000000001</v>
      </c>
      <c r="J3">
        <v>0.272532</v>
      </c>
      <c r="K3">
        <v>0.496585</v>
      </c>
      <c r="L3">
        <v>0.74081799999999998</v>
      </c>
      <c r="M3">
        <v>0.904837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x14ac:dyDescent="0.25">
      <c r="A4" t="s">
        <v>204</v>
      </c>
      <c r="B4">
        <v>1</v>
      </c>
      <c r="C4">
        <v>2008</v>
      </c>
      <c r="D4">
        <v>1</v>
      </c>
      <c r="E4">
        <v>1</v>
      </c>
      <c r="F4">
        <v>1</v>
      </c>
      <c r="G4" t="s">
        <v>302</v>
      </c>
      <c r="H4">
        <v>0</v>
      </c>
      <c r="I4">
        <v>0.18268400000000001</v>
      </c>
      <c r="J4">
        <v>0.272532</v>
      </c>
      <c r="K4">
        <v>0.496585</v>
      </c>
      <c r="L4">
        <v>0.74081799999999998</v>
      </c>
      <c r="M4">
        <v>0.904837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</row>
    <row r="5" spans="1:38" x14ac:dyDescent="0.25">
      <c r="A5" t="s">
        <v>204</v>
      </c>
      <c r="B5">
        <v>1</v>
      </c>
      <c r="C5">
        <v>2009</v>
      </c>
      <c r="D5">
        <v>1</v>
      </c>
      <c r="E5">
        <v>1</v>
      </c>
      <c r="F5">
        <v>1</v>
      </c>
      <c r="G5" t="s">
        <v>303</v>
      </c>
      <c r="H5">
        <v>0</v>
      </c>
      <c r="I5">
        <v>0.18268400000000001</v>
      </c>
      <c r="J5">
        <v>0.272532</v>
      </c>
      <c r="K5">
        <v>0.496585</v>
      </c>
      <c r="L5">
        <v>0.74081799999999998</v>
      </c>
      <c r="M5">
        <v>0.904837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</row>
    <row r="6" spans="1:38" x14ac:dyDescent="0.25">
      <c r="A6" t="s">
        <v>204</v>
      </c>
      <c r="B6">
        <v>2</v>
      </c>
      <c r="C6">
        <v>1957</v>
      </c>
      <c r="D6">
        <v>1</v>
      </c>
      <c r="E6">
        <v>1</v>
      </c>
      <c r="F6">
        <v>1</v>
      </c>
      <c r="G6" t="s">
        <v>308</v>
      </c>
      <c r="H6">
        <v>0</v>
      </c>
      <c r="I6">
        <v>0.18268400000000001</v>
      </c>
      <c r="J6">
        <v>0.272532</v>
      </c>
      <c r="K6">
        <v>0.496585</v>
      </c>
      <c r="L6">
        <v>0.74081799999999998</v>
      </c>
      <c r="M6">
        <v>0.904837</v>
      </c>
      <c r="N6">
        <v>1</v>
      </c>
      <c r="O6">
        <v>1</v>
      </c>
      <c r="P6">
        <v>1</v>
      </c>
      <c r="Q6">
        <v>1</v>
      </c>
      <c r="R6">
        <v>1</v>
      </c>
      <c r="S6">
        <v>1</v>
      </c>
      <c r="T6">
        <v>1</v>
      </c>
    </row>
    <row r="7" spans="1:38" x14ac:dyDescent="0.25">
      <c r="A7" t="s">
        <v>204</v>
      </c>
      <c r="B7">
        <v>2</v>
      </c>
      <c r="C7">
        <v>2008</v>
      </c>
      <c r="D7">
        <v>1</v>
      </c>
      <c r="E7">
        <v>1</v>
      </c>
      <c r="F7">
        <v>1</v>
      </c>
      <c r="G7" t="s">
        <v>304</v>
      </c>
      <c r="H7">
        <v>0</v>
      </c>
      <c r="I7">
        <v>0.18268400000000001</v>
      </c>
      <c r="J7">
        <v>0.272532</v>
      </c>
      <c r="K7">
        <v>0.496585</v>
      </c>
      <c r="L7">
        <v>0.74081799999999998</v>
      </c>
      <c r="M7">
        <v>0.904837</v>
      </c>
      <c r="N7">
        <v>1</v>
      </c>
      <c r="O7">
        <v>1</v>
      </c>
      <c r="P7">
        <v>1</v>
      </c>
      <c r="Q7">
        <v>1</v>
      </c>
      <c r="R7">
        <v>1</v>
      </c>
      <c r="S7">
        <v>1</v>
      </c>
      <c r="T7">
        <v>1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I7"/>
  <sheetViews>
    <sheetView workbookViewId="0"/>
  </sheetViews>
  <sheetFormatPr defaultRowHeight="15" x14ac:dyDescent="0.25"/>
  <sheetData>
    <row r="1" spans="1:139" ht="257.25" customHeight="1" x14ac:dyDescent="0.25">
      <c r="L1" s="18"/>
    </row>
    <row r="3" spans="1:139" x14ac:dyDescent="0.25">
      <c r="B3" s="20"/>
      <c r="D3" s="20"/>
      <c r="E3" s="20"/>
      <c r="F3" s="20"/>
      <c r="G3" s="20"/>
      <c r="J3" s="20"/>
      <c r="K3" s="2"/>
      <c r="V3" s="6" t="e">
        <f>IF(F3&lt;0,-F3,#N/A)</f>
        <v>#N/A</v>
      </c>
      <c r="W3" s="6">
        <f>IF(F3&gt;=0,F3,#N/A)</f>
        <v>0</v>
      </c>
      <c r="X3" s="6" t="e">
        <f>IF(F3&gt;0,F3-1.96*I3,#N/A)</f>
        <v>#N/A</v>
      </c>
      <c r="Y3" s="6" t="e">
        <f>IF(F3&gt;0,F3+1.96*I3,#N/A)</f>
        <v>#N/A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</row>
    <row r="4" spans="1:139" x14ac:dyDescent="0.25">
      <c r="A4" t="s">
        <v>0</v>
      </c>
      <c r="B4" t="s">
        <v>3</v>
      </c>
      <c r="C4" t="s">
        <v>2</v>
      </c>
      <c r="D4" s="20" t="s">
        <v>4</v>
      </c>
      <c r="E4" s="20" t="s">
        <v>5</v>
      </c>
      <c r="F4" s="20" t="s">
        <v>286</v>
      </c>
      <c r="G4" s="20" t="s">
        <v>287</v>
      </c>
      <c r="H4" t="s">
        <v>27</v>
      </c>
      <c r="I4" s="20" t="s">
        <v>6</v>
      </c>
      <c r="J4" s="20" t="s">
        <v>28</v>
      </c>
      <c r="K4" s="20" t="s">
        <v>332</v>
      </c>
      <c r="L4" s="20"/>
      <c r="M4" s="20"/>
      <c r="O4" s="20"/>
      <c r="P4" s="20"/>
      <c r="Q4" s="20"/>
      <c r="R4" s="20"/>
      <c r="S4" s="20"/>
      <c r="T4" s="20"/>
      <c r="V4" s="5" t="s">
        <v>211</v>
      </c>
      <c r="W4" s="5" t="s">
        <v>74</v>
      </c>
      <c r="X4" s="1" t="s">
        <v>209</v>
      </c>
      <c r="Y4" s="1" t="s">
        <v>210</v>
      </c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</row>
    <row r="5" spans="1:139" x14ac:dyDescent="0.25">
      <c r="D5" s="20"/>
      <c r="E5" s="20"/>
      <c r="F5" s="20"/>
      <c r="G5" s="20"/>
      <c r="I5" s="20"/>
      <c r="J5" s="20"/>
      <c r="K5" s="20"/>
      <c r="L5" s="20"/>
      <c r="M5" s="20"/>
      <c r="O5" s="20"/>
      <c r="P5" s="20"/>
      <c r="Q5" s="20"/>
      <c r="R5" s="20"/>
      <c r="S5" s="20"/>
      <c r="T5" s="20"/>
      <c r="V5" s="6" t="e">
        <f t="shared" ref="V5:V6" si="0">IF(F5&lt;0,-F5,#N/A)</f>
        <v>#N/A</v>
      </c>
      <c r="W5" s="6">
        <f t="shared" ref="W5:W6" si="1">IF(F5&gt;=0,F5,#N/A)</f>
        <v>0</v>
      </c>
      <c r="X5" s="6" t="e">
        <f t="shared" ref="X5:X6" si="2">IF(F5&gt;0,F5-1.96*I5,#N/A)</f>
        <v>#N/A</v>
      </c>
      <c r="Y5" s="6" t="e">
        <f t="shared" ref="Y5:Y6" si="3">IF(F5&gt;0,F5+1.96*I5,#N/A)</f>
        <v>#N/A</v>
      </c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</row>
    <row r="6" spans="1:139" x14ac:dyDescent="0.25">
      <c r="A6" t="s">
        <v>396</v>
      </c>
      <c r="D6" s="20"/>
      <c r="E6" s="20"/>
      <c r="F6" s="20"/>
      <c r="G6" s="20"/>
      <c r="I6" s="20"/>
      <c r="J6" s="20"/>
      <c r="K6" s="20"/>
      <c r="L6" s="20"/>
      <c r="M6" s="20"/>
      <c r="O6" s="20"/>
      <c r="P6" s="20"/>
      <c r="Q6" s="20"/>
      <c r="R6" s="20"/>
      <c r="S6" s="20"/>
      <c r="T6" s="20"/>
      <c r="V6" s="6" t="e">
        <f t="shared" si="0"/>
        <v>#N/A</v>
      </c>
      <c r="W6" s="6">
        <f t="shared" si="1"/>
        <v>0</v>
      </c>
      <c r="X6" s="6" t="e">
        <f t="shared" si="2"/>
        <v>#N/A</v>
      </c>
      <c r="Y6" s="6" t="e">
        <f t="shared" si="3"/>
        <v>#N/A</v>
      </c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</row>
    <row r="7" spans="1:139" x14ac:dyDescent="0.25">
      <c r="T7" s="20"/>
      <c r="V7" s="6"/>
      <c r="W7" s="6"/>
      <c r="X7" s="6"/>
      <c r="Y7" s="6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S7"/>
  <sheetViews>
    <sheetView workbookViewId="0"/>
  </sheetViews>
  <sheetFormatPr defaultRowHeight="15" x14ac:dyDescent="0.25"/>
  <sheetData>
    <row r="1" spans="1:19" ht="279.75" customHeight="1" x14ac:dyDescent="0.25">
      <c r="L1" s="18"/>
    </row>
    <row r="3" spans="1:19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P3" s="6" t="e">
        <f>IF(M3&lt;0,-G3,#N/A)</f>
        <v>#N/A</v>
      </c>
      <c r="Q3" s="6">
        <f>IF(M3&gt;=0,G3,#N/A)</f>
        <v>0</v>
      </c>
      <c r="R3" s="6" t="e">
        <f>IF(M3&gt;0,G3-1.96*G3*H3,#N/A)</f>
        <v>#N/A</v>
      </c>
      <c r="S3" s="6" t="e">
        <f>IF(M3&gt;0,G3+1.96*G3*H3,#N/A)</f>
        <v>#N/A</v>
      </c>
    </row>
    <row r="4" spans="1:19" x14ac:dyDescent="0.25">
      <c r="D4" s="20"/>
      <c r="E4" s="20"/>
      <c r="F4" s="20"/>
      <c r="G4" s="20"/>
      <c r="I4" s="20"/>
      <c r="J4" s="20"/>
      <c r="K4" s="20"/>
      <c r="L4" s="20"/>
      <c r="M4" s="20"/>
      <c r="P4" s="5" t="s">
        <v>211</v>
      </c>
      <c r="Q4" s="5" t="s">
        <v>74</v>
      </c>
      <c r="R4" s="1" t="s">
        <v>209</v>
      </c>
      <c r="S4" s="1" t="s">
        <v>210</v>
      </c>
    </row>
    <row r="5" spans="1:19" x14ac:dyDescent="0.25">
      <c r="A5" t="s">
        <v>357</v>
      </c>
      <c r="D5" s="20"/>
      <c r="E5" s="20"/>
      <c r="F5" s="20"/>
      <c r="G5" s="20"/>
      <c r="I5" s="20"/>
      <c r="J5" s="20"/>
      <c r="K5" s="20"/>
      <c r="L5" s="20"/>
      <c r="M5" s="20"/>
      <c r="P5" s="6" t="e">
        <f>IF(M5&lt;0,-G5,#N/A)</f>
        <v>#N/A</v>
      </c>
      <c r="Q5" s="6">
        <f>IF(M5&gt;=0,G5,#N/A)</f>
        <v>0</v>
      </c>
      <c r="R5" s="6" t="e">
        <f>IF(M5&gt;0,G5-1.96*G5*H5,#N/A)</f>
        <v>#N/A</v>
      </c>
      <c r="S5" s="6" t="e">
        <f>IF(M5&gt;0,G5+1.96*G5*H5,#N/A)</f>
        <v>#N/A</v>
      </c>
    </row>
    <row r="6" spans="1:19" x14ac:dyDescent="0.25">
      <c r="B6" s="20"/>
      <c r="D6" s="20"/>
      <c r="E6" s="20"/>
      <c r="F6" s="20"/>
      <c r="G6" s="20"/>
      <c r="J6" s="20"/>
      <c r="K6" s="2"/>
      <c r="P6" s="6"/>
      <c r="Q6" s="6"/>
      <c r="R6" s="6"/>
      <c r="S6" s="6"/>
    </row>
    <row r="7" spans="1:19" x14ac:dyDescent="0.25">
      <c r="K7" s="2"/>
      <c r="P7" s="6"/>
      <c r="Q7" s="6"/>
      <c r="R7" s="6"/>
      <c r="S7" s="6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AU7"/>
  <sheetViews>
    <sheetView workbookViewId="0"/>
  </sheetViews>
  <sheetFormatPr defaultRowHeight="15" x14ac:dyDescent="0.25"/>
  <sheetData>
    <row r="1" spans="1:47" ht="259.5" customHeight="1" x14ac:dyDescent="0.25">
      <c r="Q1" s="18"/>
    </row>
    <row r="3" spans="1:47" x14ac:dyDescent="0.25">
      <c r="B3" s="11" t="s">
        <v>280</v>
      </c>
      <c r="C3" s="13">
        <v>4</v>
      </c>
    </row>
    <row r="4" spans="1:47" x14ac:dyDescent="0.25">
      <c r="B4" s="11" t="s">
        <v>281</v>
      </c>
      <c r="C4" s="13">
        <v>9</v>
      </c>
    </row>
    <row r="5" spans="1:47" ht="15.75" thickBot="1" x14ac:dyDescent="0.3">
      <c r="A5" s="15" t="s">
        <v>277</v>
      </c>
      <c r="B5" s="15" t="s">
        <v>279</v>
      </c>
      <c r="C5" s="15" t="s">
        <v>278</v>
      </c>
      <c r="D5" t="s">
        <v>30</v>
      </c>
      <c r="E5" t="s">
        <v>1</v>
      </c>
      <c r="F5" t="s">
        <v>236</v>
      </c>
      <c r="G5">
        <v>0</v>
      </c>
      <c r="H5">
        <v>1</v>
      </c>
      <c r="I5">
        <v>2</v>
      </c>
      <c r="J5">
        <v>3</v>
      </c>
      <c r="K5">
        <v>4</v>
      </c>
      <c r="L5">
        <v>5</v>
      </c>
      <c r="M5">
        <v>6</v>
      </c>
      <c r="N5">
        <v>7</v>
      </c>
      <c r="O5">
        <v>8</v>
      </c>
      <c r="P5">
        <v>9</v>
      </c>
      <c r="Q5">
        <v>10</v>
      </c>
      <c r="R5">
        <v>11</v>
      </c>
      <c r="S5">
        <v>12</v>
      </c>
      <c r="T5">
        <v>13</v>
      </c>
      <c r="U5">
        <v>14</v>
      </c>
      <c r="V5">
        <v>15</v>
      </c>
      <c r="W5">
        <v>16</v>
      </c>
      <c r="X5">
        <v>17</v>
      </c>
      <c r="Y5">
        <v>18</v>
      </c>
      <c r="Z5">
        <v>19</v>
      </c>
      <c r="AA5">
        <v>20</v>
      </c>
      <c r="AB5">
        <v>21</v>
      </c>
      <c r="AC5">
        <v>22</v>
      </c>
      <c r="AD5">
        <v>23</v>
      </c>
      <c r="AE5">
        <v>24</v>
      </c>
      <c r="AF5">
        <v>25</v>
      </c>
      <c r="AG5">
        <v>26</v>
      </c>
      <c r="AH5">
        <v>27</v>
      </c>
      <c r="AI5">
        <v>28</v>
      </c>
      <c r="AJ5">
        <v>29</v>
      </c>
      <c r="AK5">
        <v>30</v>
      </c>
      <c r="AL5">
        <v>31</v>
      </c>
      <c r="AM5">
        <v>32</v>
      </c>
      <c r="AN5">
        <v>33</v>
      </c>
      <c r="AO5">
        <v>34</v>
      </c>
      <c r="AP5">
        <v>35</v>
      </c>
      <c r="AQ5">
        <v>36</v>
      </c>
      <c r="AR5">
        <v>37</v>
      </c>
      <c r="AS5">
        <v>38</v>
      </c>
      <c r="AT5" s="20">
        <v>39</v>
      </c>
      <c r="AU5" s="20">
        <v>40</v>
      </c>
    </row>
    <row r="6" spans="1:47" x14ac:dyDescent="0.25">
      <c r="A6" s="14">
        <v>0.18984799999999999</v>
      </c>
      <c r="B6" s="12">
        <v>5</v>
      </c>
      <c r="C6" s="14">
        <v>0.16844583333333332</v>
      </c>
      <c r="D6">
        <v>1</v>
      </c>
      <c r="E6">
        <v>1</v>
      </c>
      <c r="F6">
        <v>1971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 s="20">
        <v>0</v>
      </c>
      <c r="AU6" s="20" t="s">
        <v>226</v>
      </c>
    </row>
    <row r="7" spans="1:47" x14ac:dyDescent="0.25">
      <c r="A7" s="14">
        <v>0.239395</v>
      </c>
      <c r="B7" s="12">
        <v>5</v>
      </c>
      <c r="C7" s="14">
        <v>0.21240699999999998</v>
      </c>
      <c r="D7">
        <v>1</v>
      </c>
      <c r="E7">
        <v>1</v>
      </c>
      <c r="F7">
        <v>1972</v>
      </c>
      <c r="G7">
        <v>2.6999999999999247E-5</v>
      </c>
      <c r="H7">
        <v>7.599999999999274E-5</v>
      </c>
      <c r="I7">
        <v>1.789999999999986E-4</v>
      </c>
      <c r="J7">
        <v>3.4700000000000009E-4</v>
      </c>
      <c r="K7">
        <v>5.6799999999999906E-4</v>
      </c>
      <c r="L7">
        <v>8.0500000000000016E-4</v>
      </c>
      <c r="M7">
        <v>1.0270000000000001E-3</v>
      </c>
      <c r="N7">
        <v>1.2159999999999949E-3</v>
      </c>
      <c r="O7">
        <v>1.3689999999999952E-3</v>
      </c>
      <c r="P7">
        <v>1.4889999999999903E-3</v>
      </c>
      <c r="Q7">
        <v>1.5820000000000001E-3</v>
      </c>
      <c r="R7">
        <v>1.6549999999999898E-3</v>
      </c>
      <c r="S7">
        <v>1.7109999999999903E-3</v>
      </c>
      <c r="T7">
        <v>1.7559999999999937E-3</v>
      </c>
      <c r="U7">
        <v>1.7899999999999999E-3</v>
      </c>
      <c r="V7">
        <v>1.8180000000000002E-3</v>
      </c>
      <c r="W7">
        <v>1.8409999999999954E-3</v>
      </c>
      <c r="X7">
        <v>1.8589999999999995E-3</v>
      </c>
      <c r="Y7">
        <v>1.8740000000000007E-3</v>
      </c>
      <c r="Z7">
        <v>1.8859999999999988E-3</v>
      </c>
      <c r="AA7">
        <v>1.8959999999999949E-3</v>
      </c>
      <c r="AB7">
        <v>1.903999999999989E-3</v>
      </c>
      <c r="AC7">
        <v>1.910999999999996E-3</v>
      </c>
      <c r="AD7">
        <v>1.9169999999999882E-3</v>
      </c>
      <c r="AE7">
        <v>1.9219999999999932E-3</v>
      </c>
      <c r="AF7">
        <v>1.9259999999999972E-3</v>
      </c>
      <c r="AG7">
        <v>1.9300000000000012E-3</v>
      </c>
      <c r="AH7">
        <v>1.9329999999999903E-3</v>
      </c>
      <c r="AI7">
        <v>1.9349999999999923E-3</v>
      </c>
      <c r="AJ7">
        <v>1.9369999999999943E-3</v>
      </c>
      <c r="AK7">
        <v>1.9389999999999963E-3</v>
      </c>
      <c r="AL7">
        <v>1.9409999999999983E-3</v>
      </c>
      <c r="AM7">
        <v>1.9419999999999993E-3</v>
      </c>
      <c r="AN7">
        <v>1.9430000000000003E-3</v>
      </c>
      <c r="AO7">
        <v>1.9440000000000013E-3</v>
      </c>
      <c r="AP7">
        <v>1.9449999999999884E-3</v>
      </c>
      <c r="AQ7">
        <v>1.9459999999999894E-3</v>
      </c>
      <c r="AR7">
        <v>1.9469999999999904E-3</v>
      </c>
      <c r="AS7">
        <v>1.9469999999999904E-3</v>
      </c>
      <c r="AT7" s="20">
        <v>1.9479999999999914E-3</v>
      </c>
      <c r="AU7" s="20" t="s">
        <v>226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Annual_F">
                <anchor moveWithCells="1" sizeWithCells="1">
                  <from>
                    <xdr:col>3</xdr:col>
                    <xdr:colOff>47625</xdr:colOff>
                    <xdr:row>1</xdr:row>
                    <xdr:rowOff>28575</xdr:rowOff>
                  </from>
                  <to>
                    <xdr:col>6</xdr:col>
                    <xdr:colOff>85725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57</vt:i4>
      </vt:variant>
    </vt:vector>
  </HeadingPairs>
  <TitlesOfParts>
    <vt:vector size="74" baseType="lpstr">
      <vt:lpstr>CompReport_SSO</vt:lpstr>
      <vt:lpstr>REPORT_SSO</vt:lpstr>
      <vt:lpstr>Main</vt:lpstr>
      <vt:lpstr>StdErr</vt:lpstr>
      <vt:lpstr>Time_Series</vt:lpstr>
      <vt:lpstr>Annual</vt:lpstr>
      <vt:lpstr>SRR</vt:lpstr>
      <vt:lpstr>SURVEY</vt:lpstr>
      <vt:lpstr>Comp_Disp</vt:lpstr>
      <vt:lpstr>BIO</vt:lpstr>
      <vt:lpstr>Len_Sel_A</vt:lpstr>
      <vt:lpstr>Len_Sel_D</vt:lpstr>
      <vt:lpstr>Age_Sel_A</vt:lpstr>
      <vt:lpstr>Age_Sel_D</vt:lpstr>
      <vt:lpstr>Discard</vt:lpstr>
      <vt:lpstr>BODYWT</vt:lpstr>
      <vt:lpstr>Annual_F</vt:lpstr>
      <vt:lpstr>BIO!ACV_Mid</vt:lpstr>
      <vt:lpstr>BIO!Age_Beg</vt:lpstr>
      <vt:lpstr>BIO!Age_Mid</vt:lpstr>
      <vt:lpstr>AgeSelex_Raw</vt:lpstr>
      <vt:lpstr>Annual_F!Apical_F</vt:lpstr>
      <vt:lpstr>Annual_F!Ave_F</vt:lpstr>
      <vt:lpstr>Comp_Disp!Bin</vt:lpstr>
      <vt:lpstr>Annual!Bio_smry</vt:lpstr>
      <vt:lpstr>Time_Series!Bio_smry</vt:lpstr>
      <vt:lpstr>CompReport_SSO!CompReport</vt:lpstr>
      <vt:lpstr>Comp_Disp!Cum_exp</vt:lpstr>
      <vt:lpstr>Comp_Disp!Cum_obs</vt:lpstr>
      <vt:lpstr>Annual!Dead_Catch</vt:lpstr>
      <vt:lpstr>BODYWT!delete_OBS</vt:lpstr>
      <vt:lpstr>Discard!delete_OBS</vt:lpstr>
      <vt:lpstr>SURVEY!delete_OBS</vt:lpstr>
      <vt:lpstr>SURVEY!Eff_Q</vt:lpstr>
      <vt:lpstr>BODYWT!Exp</vt:lpstr>
      <vt:lpstr>Comp_Disp!Exp</vt:lpstr>
      <vt:lpstr>Discard!Exp</vt:lpstr>
      <vt:lpstr>SURVEY!Exp</vt:lpstr>
      <vt:lpstr>Annual!F_std</vt:lpstr>
      <vt:lpstr>BIO!Len_Beg</vt:lpstr>
      <vt:lpstr>BIO!Len_Mid</vt:lpstr>
      <vt:lpstr>LenSelexArea</vt:lpstr>
      <vt:lpstr>Main_List</vt:lpstr>
      <vt:lpstr>BODYWT!OBS</vt:lpstr>
      <vt:lpstr>Comp_Disp!Obs</vt:lpstr>
      <vt:lpstr>Discard!OBS</vt:lpstr>
      <vt:lpstr>SURVEY!OBS</vt:lpstr>
      <vt:lpstr>Comp_Disp!Pearson</vt:lpstr>
      <vt:lpstr>put_agecomp</vt:lpstr>
      <vt:lpstr>put_ageselex</vt:lpstr>
      <vt:lpstr>put_biology</vt:lpstr>
      <vt:lpstr>put_selex</vt:lpstr>
      <vt:lpstr>put_survey</vt:lpstr>
      <vt:lpstr>Time_Series!Recruit_0</vt:lpstr>
      <vt:lpstr>Annual!Recruits</vt:lpstr>
      <vt:lpstr>REPORT_SSO!Report_1</vt:lpstr>
      <vt:lpstr>BIO!SD_Beg</vt:lpstr>
      <vt:lpstr>BIO!SD_Mid</vt:lpstr>
      <vt:lpstr>BODYWT!se2_hi</vt:lpstr>
      <vt:lpstr>Discard!se2_hi</vt:lpstr>
      <vt:lpstr>SURVEY!se2_hi</vt:lpstr>
      <vt:lpstr>BODYWT!se2_low</vt:lpstr>
      <vt:lpstr>Discard!se2_low</vt:lpstr>
      <vt:lpstr>SURVEY!se2_low</vt:lpstr>
      <vt:lpstr>Time_Series!SpawnBio</vt:lpstr>
      <vt:lpstr>Annual!SPB</vt:lpstr>
      <vt:lpstr>Annual!SPR_std</vt:lpstr>
      <vt:lpstr>Annual!Year</vt:lpstr>
      <vt:lpstr>Annual_F!Year</vt:lpstr>
      <vt:lpstr>BODYWT!Yr</vt:lpstr>
      <vt:lpstr>Comp_Disp!Yr</vt:lpstr>
      <vt:lpstr>Discard!Yr</vt:lpstr>
      <vt:lpstr>SURVEY!Yr</vt:lpstr>
      <vt:lpstr>Time_Series!Yr</vt:lpstr>
    </vt:vector>
  </TitlesOfParts>
  <Company>NOAA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methot</dc:creator>
  <cp:lastModifiedBy>Methot, Richard</cp:lastModifiedBy>
  <dcterms:created xsi:type="dcterms:W3CDTF">2009-04-27T16:07:19Z</dcterms:created>
  <dcterms:modified xsi:type="dcterms:W3CDTF">2012-06-14T17:24:38Z</dcterms:modified>
</cp:coreProperties>
</file>